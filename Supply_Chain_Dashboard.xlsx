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dmin\Downloads\Project file\"/>
    </mc:Choice>
  </mc:AlternateContent>
  <xr:revisionPtr revIDLastSave="0" documentId="13_ncr:1_{272341D4-EFE3-4BFC-A665-AF1496E8F330}" xr6:coauthVersionLast="47" xr6:coauthVersionMax="47" xr10:uidLastSave="{00000000-0000-0000-0000-000000000000}"/>
  <bookViews>
    <workbookView xWindow="-103" yWindow="-103" windowWidth="23657" windowHeight="15120" firstSheet="1" activeTab="5" xr2:uid="{430B305C-6C50-4033-83E2-771489F57851}"/>
  </bookViews>
  <sheets>
    <sheet name="Revenue and profit" sheetId="8" r:id="rId1"/>
    <sheet name="Profit margin" sheetId="9" r:id="rId2"/>
    <sheet name="Trade-off Evaluation" sheetId="10" r:id="rId3"/>
    <sheet name="Transportation modes" sheetId="13" r:id="rId4"/>
    <sheet name="Cost to revenue ratio" sheetId="14" r:id="rId5"/>
    <sheet name="dashboard" sheetId="11" r:id="rId6"/>
    <sheet name="supply_chain_data" sheetId="2" r:id="rId7"/>
  </sheets>
  <definedNames>
    <definedName name="Dữ_liệu_Bên_ngoài_1" localSheetId="6" hidden="1">supply_chain_data!$A$1:$AB$70</definedName>
    <definedName name="Slicer_Product_type">#N/A</definedName>
    <definedName name="Slicer_Transportation_mode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73D84C-FDF9-422B-B60C-E0EDA4535639}" keepAlive="1" name="Truy vấn - supply_chain_data" description="Kết nối với truy vấn 'supply_chain_data' trong sổ làm việc." type="5" refreshedVersion="8" background="1" saveData="1">
    <dbPr connection="Provider=Microsoft.Mashup.OleDb.1;Data Source=$Workbook$;Location=supply_chain_data;Extended Properties=&quot;&quot;" command="SELECT * FROM [supply_chain_data]"/>
  </connection>
</connections>
</file>

<file path=xl/sharedStrings.xml><?xml version="1.0" encoding="utf-8"?>
<sst xmlns="http://schemas.openxmlformats.org/spreadsheetml/2006/main" count="685" uniqueCount="138">
  <si>
    <t>SKU</t>
  </si>
  <si>
    <t>Product type</t>
  </si>
  <si>
    <t>Customer demographics</t>
  </si>
  <si>
    <t>Supplier name</t>
  </si>
  <si>
    <t>Location</t>
  </si>
  <si>
    <t>Production volumes</t>
  </si>
  <si>
    <t>Manufacturing costs</t>
  </si>
  <si>
    <t>Manufacturing lead time</t>
  </si>
  <si>
    <t>Defect rates</t>
  </si>
  <si>
    <t>Inspection results</t>
  </si>
  <si>
    <t>Price</t>
  </si>
  <si>
    <t>Stock levels</t>
  </si>
  <si>
    <t>Availability</t>
  </si>
  <si>
    <t>Supplier Lead times (days)</t>
  </si>
  <si>
    <t>Order quantities</t>
  </si>
  <si>
    <t>Number of products sold</t>
  </si>
  <si>
    <t>Revenue generated</t>
  </si>
  <si>
    <t>Transportation modes</t>
  </si>
  <si>
    <t>Routes</t>
  </si>
  <si>
    <t>Shipping carriers</t>
  </si>
  <si>
    <t>Shipping costs</t>
  </si>
  <si>
    <t>Costs</t>
  </si>
  <si>
    <t>Shipping times</t>
  </si>
  <si>
    <t>Delivery Lead time (days)</t>
  </si>
  <si>
    <t>SKU0</t>
  </si>
  <si>
    <t>haircare</t>
  </si>
  <si>
    <t>Non-binary</t>
  </si>
  <si>
    <t>Supplier 3</t>
  </si>
  <si>
    <t>Mumbai</t>
  </si>
  <si>
    <t>Pending</t>
  </si>
  <si>
    <t>Road</t>
  </si>
  <si>
    <t>Route B</t>
  </si>
  <si>
    <t>Carrier B</t>
  </si>
  <si>
    <t>SKU1</t>
  </si>
  <si>
    <t>skincare</t>
  </si>
  <si>
    <t>Female</t>
  </si>
  <si>
    <t>Carrier A</t>
  </si>
  <si>
    <t>SKU3</t>
  </si>
  <si>
    <t>Supplier 5</t>
  </si>
  <si>
    <t>Kolkata</t>
  </si>
  <si>
    <t>Fail</t>
  </si>
  <si>
    <t>Rail</t>
  </si>
  <si>
    <t>Route A</t>
  </si>
  <si>
    <t>Carrier C</t>
  </si>
  <si>
    <t>SKU4</t>
  </si>
  <si>
    <t>Supplier 1</t>
  </si>
  <si>
    <t>Delhi</t>
  </si>
  <si>
    <t>Air</t>
  </si>
  <si>
    <t>SKU5</t>
  </si>
  <si>
    <t>Supplier 4</t>
  </si>
  <si>
    <t>Bangalore</t>
  </si>
  <si>
    <t>SKU6</t>
  </si>
  <si>
    <t>Male</t>
  </si>
  <si>
    <t>Sea</t>
  </si>
  <si>
    <t>SKU7</t>
  </si>
  <si>
    <t>cosmetics</t>
  </si>
  <si>
    <t>Route C</t>
  </si>
  <si>
    <t>SKU8</t>
  </si>
  <si>
    <t>SKU10</t>
  </si>
  <si>
    <t>Pass</t>
  </si>
  <si>
    <t>SKU11</t>
  </si>
  <si>
    <t>Supplier 2</t>
  </si>
  <si>
    <t>SKU13</t>
  </si>
  <si>
    <t>SKU14</t>
  </si>
  <si>
    <t>SKU15</t>
  </si>
  <si>
    <t>SKU16</t>
  </si>
  <si>
    <t>SKU17</t>
  </si>
  <si>
    <t>Chennai</t>
  </si>
  <si>
    <t>SKU24</t>
  </si>
  <si>
    <t>SKU25</t>
  </si>
  <si>
    <t>SKU26</t>
  </si>
  <si>
    <t>SKU28</t>
  </si>
  <si>
    <t>SKU29</t>
  </si>
  <si>
    <t>SKU30</t>
  </si>
  <si>
    <t>SKU31</t>
  </si>
  <si>
    <t>SKU33</t>
  </si>
  <si>
    <t>SKU35</t>
  </si>
  <si>
    <t>SKU36</t>
  </si>
  <si>
    <t>SKU37</t>
  </si>
  <si>
    <t>SKU38</t>
  </si>
  <si>
    <t>SKU39</t>
  </si>
  <si>
    <t>SKU40</t>
  </si>
  <si>
    <t>SKU41</t>
  </si>
  <si>
    <t>SKU42</t>
  </si>
  <si>
    <t>SKU44</t>
  </si>
  <si>
    <t>SKU45</t>
  </si>
  <si>
    <t>SKU46</t>
  </si>
  <si>
    <t>SKU47</t>
  </si>
  <si>
    <t>SKU48</t>
  </si>
  <si>
    <t>SKU50</t>
  </si>
  <si>
    <t>SKU51</t>
  </si>
  <si>
    <t>SKU52</t>
  </si>
  <si>
    <t>SKU53</t>
  </si>
  <si>
    <t>SKU54</t>
  </si>
  <si>
    <t>SKU55</t>
  </si>
  <si>
    <t>SKU56</t>
  </si>
  <si>
    <t>SKU58</t>
  </si>
  <si>
    <t>SKU59</t>
  </si>
  <si>
    <t>SKU60</t>
  </si>
  <si>
    <t>SKU63</t>
  </si>
  <si>
    <t>SKU64</t>
  </si>
  <si>
    <t>SKU65</t>
  </si>
  <si>
    <t>SKU66</t>
  </si>
  <si>
    <t>SKU68</t>
  </si>
  <si>
    <t>SKU69</t>
  </si>
  <si>
    <t>SKU70</t>
  </si>
  <si>
    <t>SKU71</t>
  </si>
  <si>
    <t>SKU72</t>
  </si>
  <si>
    <t>SKU73</t>
  </si>
  <si>
    <t>SKU74</t>
  </si>
  <si>
    <t>SKU75</t>
  </si>
  <si>
    <t>SKU76</t>
  </si>
  <si>
    <t>SKU79</t>
  </si>
  <si>
    <t>SKU85</t>
  </si>
  <si>
    <t>SKU87</t>
  </si>
  <si>
    <t>SKU88</t>
  </si>
  <si>
    <t>SKU90</t>
  </si>
  <si>
    <t>SKU91</t>
  </si>
  <si>
    <t>SKU92</t>
  </si>
  <si>
    <t>SKU96</t>
  </si>
  <si>
    <t>SKU97</t>
  </si>
  <si>
    <t>SKU98</t>
  </si>
  <si>
    <t>Total Operation Cost</t>
  </si>
  <si>
    <t>Net profit</t>
  </si>
  <si>
    <t>Profit Margin</t>
  </si>
  <si>
    <t>Inventory Value</t>
  </si>
  <si>
    <t>Total</t>
  </si>
  <si>
    <t>Sum of Revenue generated</t>
  </si>
  <si>
    <t>Sum of Net profit</t>
  </si>
  <si>
    <t>Average of Profit Margin</t>
  </si>
  <si>
    <t>Average of Defect rates</t>
  </si>
  <si>
    <t>Sum of Manufacturing costs</t>
  </si>
  <si>
    <t>Row Labels</t>
  </si>
  <si>
    <t>Grand Total</t>
  </si>
  <si>
    <t>Sum of Shipping costs</t>
  </si>
  <si>
    <t>Average of Shipping times</t>
  </si>
  <si>
    <t>Products</t>
  </si>
  <si>
    <t>Average of Cost to Revenue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</si>
</sst>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3" fontId="0" fillId="0" borderId="0" xfId="0" applyNumberFormat="1"/>
    <xf numFmtId="164" fontId="0" fillId="0" borderId="0" xfId="0" applyNumberFormat="1"/>
    <xf numFmtId="166" fontId="0" fillId="0" borderId="0" xfId="0" applyNumberFormat="1"/>
  </cellXfs>
  <cellStyles count="1">
    <cellStyle name="Normal" xfId="0" builtinId="0"/>
  </cellStyles>
  <dxfs count="50">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6" formatCode="0.0%"/>
    </dxf>
    <dxf>
      <numFmt numFmtId="166" formatCode="0.0%"/>
    </dxf>
    <dxf>
      <numFmt numFmtId="165" formatCode="0.0"/>
    </dxf>
    <dxf>
      <numFmt numFmtId="165" formatCode="0.0"/>
    </dxf>
    <dxf>
      <numFmt numFmtId="14" formatCode="0.00%"/>
    </dxf>
    <dxf>
      <numFmt numFmtId="14" formatCode="0.00%"/>
    </dxf>
    <dxf>
      <numFmt numFmtId="3" formatCode="#,##0"/>
    </dxf>
    <dxf>
      <numFmt numFmtId="3" formatCode="#,##0"/>
    </dxf>
    <dxf>
      <numFmt numFmtId="0" formatCode="General"/>
    </dxf>
    <dxf>
      <numFmt numFmtId="0" formatCode="General"/>
    </dxf>
    <dxf>
      <numFmt numFmtId="14" formatCode="0.00%"/>
    </dxf>
    <dxf>
      <numFmt numFmtId="14" formatCode="0.00%"/>
    </dxf>
    <dxf>
      <numFmt numFmtId="164" formatCode="&quot;$&quot;#,##0"/>
    </dxf>
    <dxf>
      <numFmt numFmtId="164" formatCode="&quot;$&quot;#,##0"/>
    </dxf>
    <dxf>
      <numFmt numFmtId="164" formatCode="&quot;$&quot;#,##0"/>
    </dxf>
    <dxf>
      <numFmt numFmtId="164" formatCode="&quot;$&quot;#,##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data.xlsx]Cost to revenue ratio!PivotTable1</c:name>
    <c:fmtId val="0"/>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a:t>Cost to Revenue Ratio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'Cost to revenue ratio'!$B$3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5F-47FD-8BD9-7818486A6AA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5F-47FD-8BD9-7818486A6AA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5F-47FD-8BD9-7818486A6AAD}"/>
              </c:ext>
            </c:extLst>
          </c:dPt>
          <c:dLbls>
            <c:spPr>
              <a:noFill/>
              <a:ln>
                <a:noFill/>
              </a:ln>
              <a:effectLst/>
            </c:spPr>
            <c:txPr>
              <a:bodyPr rot="0" spcFirstLastPara="1" vertOverflow="ellipsis" vert="horz" wrap="square" anchor="ctr" anchorCtr="1"/>
              <a:lstStyle/>
              <a:p>
                <a:pPr>
                  <a:defRPr sz="1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to revenue ratio'!$A$4:$A$7</c:f>
              <c:strCache>
                <c:ptCount val="3"/>
                <c:pt idx="0">
                  <c:v>cosmetics</c:v>
                </c:pt>
                <c:pt idx="1">
                  <c:v>haircare</c:v>
                </c:pt>
                <c:pt idx="2">
                  <c:v>skincare</c:v>
                </c:pt>
              </c:strCache>
            </c:strRef>
          </c:cat>
          <c:val>
            <c:numRef>
              <c:f>'Cost to revenue ratio'!$B$4:$B$7</c:f>
              <c:numCache>
                <c:formatCode>0.0%</c:formatCode>
                <c:ptCount val="3"/>
                <c:pt idx="0">
                  <c:v>9.2026122639310648E-2</c:v>
                </c:pt>
                <c:pt idx="1">
                  <c:v>0.10997963360031689</c:v>
                </c:pt>
                <c:pt idx="2">
                  <c:v>0.10208070208678711</c:v>
                </c:pt>
              </c:numCache>
            </c:numRef>
          </c:val>
          <c:extLst>
            <c:ext xmlns:c16="http://schemas.microsoft.com/office/drawing/2014/chart" uri="{C3380CC4-5D6E-409C-BE32-E72D297353CC}">
              <c16:uniqueId val="{00000000-F869-4732-90C5-5D7F8C3348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data.xlsx]Revenue and profit!PivotTable1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AND NET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profit'!$B$9</c:f>
              <c:strCache>
                <c:ptCount val="1"/>
                <c:pt idx="0">
                  <c:v>Sum of Revenue 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and profit'!$A$10:$A$13</c:f>
              <c:strCache>
                <c:ptCount val="3"/>
                <c:pt idx="0">
                  <c:v>skincare</c:v>
                </c:pt>
                <c:pt idx="1">
                  <c:v>haircare</c:v>
                </c:pt>
                <c:pt idx="2">
                  <c:v>cosmetics</c:v>
                </c:pt>
              </c:strCache>
            </c:strRef>
          </c:cat>
          <c:val>
            <c:numRef>
              <c:f>'Revenue and profit'!$B$10:$B$13</c:f>
              <c:numCache>
                <c:formatCode>"$"#,##0</c:formatCode>
                <c:ptCount val="3"/>
                <c:pt idx="0">
                  <c:v>185043.79000000004</c:v>
                </c:pt>
                <c:pt idx="1">
                  <c:v>102295.94</c:v>
                </c:pt>
                <c:pt idx="2">
                  <c:v>117174.99</c:v>
                </c:pt>
              </c:numCache>
            </c:numRef>
          </c:val>
          <c:extLst>
            <c:ext xmlns:c16="http://schemas.microsoft.com/office/drawing/2014/chart" uri="{C3380CC4-5D6E-409C-BE32-E72D297353CC}">
              <c16:uniqueId val="{00000000-D06C-495E-9706-20793D8159A6}"/>
            </c:ext>
          </c:extLst>
        </c:ser>
        <c:ser>
          <c:idx val="1"/>
          <c:order val="1"/>
          <c:tx>
            <c:strRef>
              <c:f>'Revenue and profit'!$C$9</c:f>
              <c:strCache>
                <c:ptCount val="1"/>
                <c:pt idx="0">
                  <c:v>Sum of Net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and profit'!$A$10:$A$13</c:f>
              <c:strCache>
                <c:ptCount val="3"/>
                <c:pt idx="0">
                  <c:v>skincare</c:v>
                </c:pt>
                <c:pt idx="1">
                  <c:v>haircare</c:v>
                </c:pt>
                <c:pt idx="2">
                  <c:v>cosmetics</c:v>
                </c:pt>
              </c:strCache>
            </c:strRef>
          </c:cat>
          <c:val>
            <c:numRef>
              <c:f>'Revenue and profit'!$C$10:$C$13</c:f>
              <c:numCache>
                <c:formatCode>"$"#,##0</c:formatCode>
                <c:ptCount val="3"/>
                <c:pt idx="0">
                  <c:v>166154.38999999998</c:v>
                </c:pt>
                <c:pt idx="1">
                  <c:v>91045.47</c:v>
                </c:pt>
                <c:pt idx="2">
                  <c:v>106391.83</c:v>
                </c:pt>
              </c:numCache>
            </c:numRef>
          </c:val>
          <c:extLst>
            <c:ext xmlns:c16="http://schemas.microsoft.com/office/drawing/2014/chart" uri="{C3380CC4-5D6E-409C-BE32-E72D297353CC}">
              <c16:uniqueId val="{00000001-D06C-495E-9706-20793D8159A6}"/>
            </c:ext>
          </c:extLst>
        </c:ser>
        <c:dLbls>
          <c:dLblPos val="inEnd"/>
          <c:showLegendKey val="0"/>
          <c:showVal val="1"/>
          <c:showCatName val="0"/>
          <c:showSerName val="0"/>
          <c:showPercent val="0"/>
          <c:showBubbleSize val="0"/>
        </c:dLbls>
        <c:gapWidth val="100"/>
        <c:overlap val="-24"/>
        <c:axId val="1626971727"/>
        <c:axId val="1626971247"/>
      </c:barChart>
      <c:catAx>
        <c:axId val="1626971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6971247"/>
        <c:crosses val="autoZero"/>
        <c:auto val="1"/>
        <c:lblAlgn val="ctr"/>
        <c:lblOffset val="100"/>
        <c:noMultiLvlLbl val="0"/>
      </c:catAx>
      <c:valAx>
        <c:axId val="1626971247"/>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697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data.xlsx]Profit margin!PivotTable1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margin'!$B$3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1E-4590-9C2F-B2085221E1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1E-4590-9C2F-B2085221E1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1E-4590-9C2F-B2085221E1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margin'!$A$4:$A$7</c:f>
              <c:strCache>
                <c:ptCount val="3"/>
                <c:pt idx="0">
                  <c:v>skincare</c:v>
                </c:pt>
                <c:pt idx="1">
                  <c:v>haircare</c:v>
                </c:pt>
                <c:pt idx="2">
                  <c:v>cosmetics</c:v>
                </c:pt>
              </c:strCache>
            </c:strRef>
          </c:cat>
          <c:val>
            <c:numRef>
              <c:f>'Profit margin'!$B$4:$B$7</c:f>
              <c:numCache>
                <c:formatCode>0.00%</c:formatCode>
                <c:ptCount val="3"/>
                <c:pt idx="0">
                  <c:v>0.85920611209180497</c:v>
                </c:pt>
                <c:pt idx="1">
                  <c:v>0.86843197254619187</c:v>
                </c:pt>
                <c:pt idx="2">
                  <c:v>0.86538620592274884</c:v>
                </c:pt>
              </c:numCache>
            </c:numRef>
          </c:val>
          <c:extLst>
            <c:ext xmlns:c16="http://schemas.microsoft.com/office/drawing/2014/chart" uri="{C3380CC4-5D6E-409C-BE32-E72D297353CC}">
              <c16:uniqueId val="{00000000-874E-4537-B69D-57A7B8F924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data.xlsx]Trade-off Evaluation!PivotTable3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Manufacturing</a:t>
            </a:r>
            <a:r>
              <a:rPr lang="en-US" baseline="0"/>
              <a:t> Costs and Defect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'Trade-off Evaluation'!$B$4</c:f>
              <c:strCache>
                <c:ptCount val="1"/>
                <c:pt idx="0">
                  <c:v>Sum of Manufacturing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'Trade-off Evaluation'!$A$5:$A$10</c:f>
              <c:strCache>
                <c:ptCount val="5"/>
                <c:pt idx="0">
                  <c:v>Supplier 1</c:v>
                </c:pt>
                <c:pt idx="1">
                  <c:v>Supplier 2</c:v>
                </c:pt>
                <c:pt idx="2">
                  <c:v>Supplier 3</c:v>
                </c:pt>
                <c:pt idx="3">
                  <c:v>Supplier 4</c:v>
                </c:pt>
                <c:pt idx="4">
                  <c:v>Supplier 5</c:v>
                </c:pt>
              </c:strCache>
            </c:strRef>
          </c:cat>
          <c:val>
            <c:numRef>
              <c:f>'Trade-off Evaluation'!$B$5:$B$10</c:f>
              <c:numCache>
                <c:formatCode>#,##0</c:formatCode>
                <c:ptCount val="5"/>
                <c:pt idx="0">
                  <c:v>845.77000000000021</c:v>
                </c:pt>
                <c:pt idx="1">
                  <c:v>648.85</c:v>
                </c:pt>
                <c:pt idx="2">
                  <c:v>528.07999999999993</c:v>
                </c:pt>
                <c:pt idx="3">
                  <c:v>790.73</c:v>
                </c:pt>
                <c:pt idx="4">
                  <c:v>489.58000000000004</c:v>
                </c:pt>
              </c:numCache>
            </c:numRef>
          </c:val>
          <c:extLst>
            <c:ext xmlns:c16="http://schemas.microsoft.com/office/drawing/2014/chart" uri="{C3380CC4-5D6E-409C-BE32-E72D297353CC}">
              <c16:uniqueId val="{00000000-BD08-489D-894B-F9357CEAC269}"/>
            </c:ext>
          </c:extLst>
        </c:ser>
        <c:dLbls>
          <c:showLegendKey val="0"/>
          <c:showVal val="1"/>
          <c:showCatName val="0"/>
          <c:showSerName val="0"/>
          <c:showPercent val="0"/>
          <c:showBubbleSize val="0"/>
        </c:dLbls>
        <c:gapWidth val="219"/>
        <c:overlap val="-27"/>
        <c:axId val="667253775"/>
        <c:axId val="667254255"/>
      </c:barChart>
      <c:lineChart>
        <c:grouping val="standard"/>
        <c:varyColors val="0"/>
        <c:ser>
          <c:idx val="1"/>
          <c:order val="1"/>
          <c:tx>
            <c:strRef>
              <c:f>'Trade-off Evaluation'!$C$4</c:f>
              <c:strCache>
                <c:ptCount val="1"/>
                <c:pt idx="0">
                  <c:v>Average of Defect rates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'Trade-off Evaluation'!$A$5:$A$10</c:f>
              <c:strCache>
                <c:ptCount val="5"/>
                <c:pt idx="0">
                  <c:v>Supplier 1</c:v>
                </c:pt>
                <c:pt idx="1">
                  <c:v>Supplier 2</c:v>
                </c:pt>
                <c:pt idx="2">
                  <c:v>Supplier 3</c:v>
                </c:pt>
                <c:pt idx="3">
                  <c:v>Supplier 4</c:v>
                </c:pt>
                <c:pt idx="4">
                  <c:v>Supplier 5</c:v>
                </c:pt>
              </c:strCache>
            </c:strRef>
          </c:cat>
          <c:val>
            <c:numRef>
              <c:f>'Trade-off Evaluation'!$C$5:$C$10</c:f>
              <c:numCache>
                <c:formatCode>0.00%</c:formatCode>
                <c:ptCount val="5"/>
                <c:pt idx="0">
                  <c:v>1.6478947368421051E-2</c:v>
                </c:pt>
                <c:pt idx="1">
                  <c:v>2.3706666666666664E-2</c:v>
                </c:pt>
                <c:pt idx="2">
                  <c:v>2.47E-2</c:v>
                </c:pt>
                <c:pt idx="3">
                  <c:v>1.9958333333333331E-2</c:v>
                </c:pt>
                <c:pt idx="4">
                  <c:v>2.8736363636363636E-2</c:v>
                </c:pt>
              </c:numCache>
            </c:numRef>
          </c:val>
          <c:smooth val="0"/>
          <c:extLst>
            <c:ext xmlns:c16="http://schemas.microsoft.com/office/drawing/2014/chart" uri="{C3380CC4-5D6E-409C-BE32-E72D297353CC}">
              <c16:uniqueId val="{00000001-BD08-489D-894B-F9357CEAC269}"/>
            </c:ext>
          </c:extLst>
        </c:ser>
        <c:dLbls>
          <c:showLegendKey val="0"/>
          <c:showVal val="1"/>
          <c:showCatName val="0"/>
          <c:showSerName val="0"/>
          <c:showPercent val="0"/>
          <c:showBubbleSize val="0"/>
        </c:dLbls>
        <c:marker val="1"/>
        <c:smooth val="0"/>
        <c:axId val="667260015"/>
        <c:axId val="667261935"/>
      </c:lineChart>
      <c:catAx>
        <c:axId val="667253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254255"/>
        <c:crosses val="autoZero"/>
        <c:auto val="1"/>
        <c:lblAlgn val="ctr"/>
        <c:lblOffset val="100"/>
        <c:noMultiLvlLbl val="0"/>
      </c:catAx>
      <c:valAx>
        <c:axId val="6672542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253775"/>
        <c:crosses val="autoZero"/>
        <c:crossBetween val="between"/>
      </c:valAx>
      <c:valAx>
        <c:axId val="66726193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260015"/>
        <c:crosses val="max"/>
        <c:crossBetween val="between"/>
      </c:valAx>
      <c:catAx>
        <c:axId val="667260015"/>
        <c:scaling>
          <c:orientation val="minMax"/>
        </c:scaling>
        <c:delete val="1"/>
        <c:axPos val="b"/>
        <c:numFmt formatCode="General" sourceLinked="1"/>
        <c:majorTickMark val="none"/>
        <c:minorTickMark val="none"/>
        <c:tickLblPos val="nextTo"/>
        <c:crossAx val="6672619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data.xlsx]Transportation modes!PivotTable6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Costs and Performances of Transportation Modes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'Transportation modes'!$B$3</c:f>
              <c:strCache>
                <c:ptCount val="1"/>
                <c:pt idx="0">
                  <c:v>Sum of Shipping costs</c:v>
                </c:pt>
              </c:strCache>
            </c:strRef>
          </c:tx>
          <c:spPr>
            <a:solidFill>
              <a:schemeClr val="accent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'Transportation modes'!$A$4:$A$8</c:f>
              <c:strCache>
                <c:ptCount val="4"/>
                <c:pt idx="0">
                  <c:v>Air</c:v>
                </c:pt>
                <c:pt idx="1">
                  <c:v>Rail</c:v>
                </c:pt>
                <c:pt idx="2">
                  <c:v>Road</c:v>
                </c:pt>
                <c:pt idx="3">
                  <c:v>Sea</c:v>
                </c:pt>
              </c:strCache>
            </c:strRef>
          </c:cat>
          <c:val>
            <c:numRef>
              <c:f>'Transportation modes'!$B$4:$B$8</c:f>
              <c:numCache>
                <c:formatCode>General</c:formatCode>
                <c:ptCount val="4"/>
                <c:pt idx="0">
                  <c:v>96.75</c:v>
                </c:pt>
                <c:pt idx="1">
                  <c:v>98.109999999999985</c:v>
                </c:pt>
                <c:pt idx="2">
                  <c:v>130.6</c:v>
                </c:pt>
                <c:pt idx="3">
                  <c:v>44.999999999999993</c:v>
                </c:pt>
              </c:numCache>
            </c:numRef>
          </c:val>
          <c:extLst>
            <c:ext xmlns:c16="http://schemas.microsoft.com/office/drawing/2014/chart" uri="{C3380CC4-5D6E-409C-BE32-E72D297353CC}">
              <c16:uniqueId val="{00000000-B1E5-4201-A529-212B0CCFAD84}"/>
            </c:ext>
          </c:extLst>
        </c:ser>
        <c:dLbls>
          <c:dLblPos val="outEnd"/>
          <c:showLegendKey val="0"/>
          <c:showVal val="1"/>
          <c:showCatName val="0"/>
          <c:showSerName val="0"/>
          <c:showPercent val="0"/>
          <c:showBubbleSize val="0"/>
        </c:dLbls>
        <c:gapWidth val="219"/>
        <c:overlap val="-27"/>
        <c:axId val="729303231"/>
        <c:axId val="729320031"/>
      </c:barChart>
      <c:lineChart>
        <c:grouping val="standard"/>
        <c:varyColors val="0"/>
        <c:ser>
          <c:idx val="1"/>
          <c:order val="1"/>
          <c:tx>
            <c:strRef>
              <c:f>'Transportation modes'!$C$3</c:f>
              <c:strCache>
                <c:ptCount val="1"/>
                <c:pt idx="0">
                  <c:v>Average of Shipping times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'Transportation modes'!$A$4:$A$8</c:f>
              <c:strCache>
                <c:ptCount val="4"/>
                <c:pt idx="0">
                  <c:v>Air</c:v>
                </c:pt>
                <c:pt idx="1">
                  <c:v>Rail</c:v>
                </c:pt>
                <c:pt idx="2">
                  <c:v>Road</c:v>
                </c:pt>
                <c:pt idx="3">
                  <c:v>Sea</c:v>
                </c:pt>
              </c:strCache>
            </c:strRef>
          </c:cat>
          <c:val>
            <c:numRef>
              <c:f>'Transportation modes'!$C$4:$C$8</c:f>
              <c:numCache>
                <c:formatCode>0.0</c:formatCode>
                <c:ptCount val="4"/>
                <c:pt idx="0">
                  <c:v>4.6111111111111107</c:v>
                </c:pt>
                <c:pt idx="1">
                  <c:v>6.9444444444444446</c:v>
                </c:pt>
                <c:pt idx="2">
                  <c:v>4.8181818181818183</c:v>
                </c:pt>
                <c:pt idx="3">
                  <c:v>7.4545454545454541</c:v>
                </c:pt>
              </c:numCache>
            </c:numRef>
          </c:val>
          <c:smooth val="0"/>
          <c:extLst>
            <c:ext xmlns:c16="http://schemas.microsoft.com/office/drawing/2014/chart" uri="{C3380CC4-5D6E-409C-BE32-E72D297353CC}">
              <c16:uniqueId val="{00000001-B1E5-4201-A529-212B0CCFAD84}"/>
            </c:ext>
          </c:extLst>
        </c:ser>
        <c:dLbls>
          <c:showLegendKey val="0"/>
          <c:showVal val="1"/>
          <c:showCatName val="0"/>
          <c:showSerName val="0"/>
          <c:showPercent val="0"/>
          <c:showBubbleSize val="0"/>
        </c:dLbls>
        <c:marker val="1"/>
        <c:smooth val="0"/>
        <c:axId val="729303231"/>
        <c:axId val="729320031"/>
      </c:lineChart>
      <c:catAx>
        <c:axId val="729303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320031"/>
        <c:crosses val="autoZero"/>
        <c:auto val="1"/>
        <c:lblAlgn val="ctr"/>
        <c:lblOffset val="100"/>
        <c:noMultiLvlLbl val="0"/>
      </c:catAx>
      <c:valAx>
        <c:axId val="729320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9303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522514</xdr:colOff>
      <xdr:row>10</xdr:row>
      <xdr:rowOff>136071</xdr:rowOff>
    </xdr:from>
    <xdr:to>
      <xdr:col>5</xdr:col>
      <xdr:colOff>446314</xdr:colOff>
      <xdr:row>25</xdr:row>
      <xdr:rowOff>103413</xdr:rowOff>
    </xdr:to>
    <xdr:graphicFrame macro="">
      <xdr:nvGraphicFramePr>
        <xdr:cNvPr id="2" name="Chart 1">
          <a:extLst>
            <a:ext uri="{FF2B5EF4-FFF2-40B4-BE49-F238E27FC236}">
              <a16:creationId xmlns:a16="http://schemas.microsoft.com/office/drawing/2014/main" id="{5EE46C36-2E6E-4D8F-E898-E7C618301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402770</xdr:colOff>
      <xdr:row>15</xdr:row>
      <xdr:rowOff>174172</xdr:rowOff>
    </xdr:from>
    <xdr:to>
      <xdr:col>13</xdr:col>
      <xdr:colOff>533400</xdr:colOff>
      <xdr:row>30</xdr:row>
      <xdr:rowOff>174173</xdr:rowOff>
    </xdr:to>
    <xdr:graphicFrame macro="">
      <xdr:nvGraphicFramePr>
        <xdr:cNvPr id="2" name="Chart 1">
          <a:extLst>
            <a:ext uri="{FF2B5EF4-FFF2-40B4-BE49-F238E27FC236}">
              <a16:creationId xmlns:a16="http://schemas.microsoft.com/office/drawing/2014/main" id="{62032708-E8E5-4E8F-A96B-7EDDBFE3E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277584</xdr:colOff>
      <xdr:row>16</xdr:row>
      <xdr:rowOff>10886</xdr:rowOff>
    </xdr:from>
    <xdr:to>
      <xdr:col>6</xdr:col>
      <xdr:colOff>337455</xdr:colOff>
      <xdr:row>30</xdr:row>
      <xdr:rowOff>174173</xdr:rowOff>
    </xdr:to>
    <xdr:graphicFrame macro="">
      <xdr:nvGraphicFramePr>
        <xdr:cNvPr id="3" name="Chart 2">
          <a:extLst>
            <a:ext uri="{FF2B5EF4-FFF2-40B4-BE49-F238E27FC236}">
              <a16:creationId xmlns:a16="http://schemas.microsoft.com/office/drawing/2014/main" id="{DE07C3A1-013F-414A-9315-338921637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293914</xdr:colOff>
      <xdr:row>0</xdr:row>
      <xdr:rowOff>16328</xdr:rowOff>
    </xdr:from>
    <xdr:to>
      <xdr:col>20</xdr:col>
      <xdr:colOff>370114</xdr:colOff>
      <xdr:row>15</xdr:row>
      <xdr:rowOff>136072</xdr:rowOff>
    </xdr:to>
    <xdr:graphicFrame macro="">
      <xdr:nvGraphicFramePr>
        <xdr:cNvPr id="4" name="Chart 3">
          <a:extLst>
            <a:ext uri="{FF2B5EF4-FFF2-40B4-BE49-F238E27FC236}">
              <a16:creationId xmlns:a16="http://schemas.microsoft.com/office/drawing/2014/main" id="{57D21366-BFA1-4540-BE92-DD765BC64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3</xdr:col>
      <xdr:colOff>299357</xdr:colOff>
      <xdr:row>6</xdr:row>
      <xdr:rowOff>179614</xdr:rowOff>
    </xdr:to>
    <mc:AlternateContent xmlns:mc="http://schemas.openxmlformats.org/markup-compatibility/2006" xmlns:a14="http://schemas.microsoft.com/office/drawing/2010/main">
      <mc:Choice Requires="a14">
        <xdr:graphicFrame macro="">
          <xdr:nvGraphicFramePr>
            <xdr:cNvPr id="5" name="Product type">
              <a:extLst>
                <a:ext uri="{FF2B5EF4-FFF2-40B4-BE49-F238E27FC236}">
                  <a16:creationId xmlns:a16="http://schemas.microsoft.com/office/drawing/2014/main" id="{DC005BEE-15B8-A875-6B8E-9170B9D622A8}"/>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0" y="0"/>
              <a:ext cx="2258786" cy="1289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16329</xdr:colOff>
      <xdr:row>7</xdr:row>
      <xdr:rowOff>10887</xdr:rowOff>
    </xdr:from>
    <xdr:to>
      <xdr:col>3</xdr:col>
      <xdr:colOff>255814</xdr:colOff>
      <xdr:row>15</xdr:row>
      <xdr:rowOff>152402</xdr:rowOff>
    </xdr:to>
    <mc:AlternateContent xmlns:mc="http://schemas.openxmlformats.org/markup-compatibility/2006" xmlns:a14="http://schemas.microsoft.com/office/drawing/2010/main">
      <mc:Choice Requires="a14">
        <xdr:graphicFrame macro="">
          <xdr:nvGraphicFramePr>
            <xdr:cNvPr id="6" name="Transportation modes">
              <a:extLst>
                <a:ext uri="{FF2B5EF4-FFF2-40B4-BE49-F238E27FC236}">
                  <a16:creationId xmlns:a16="http://schemas.microsoft.com/office/drawing/2014/main" id="{48D99FAE-EDB7-9E45-240E-CFA2630DDE07}"/>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16329" y="1306287"/>
              <a:ext cx="2198914" cy="1621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582385</xdr:colOff>
      <xdr:row>16</xdr:row>
      <xdr:rowOff>5443</xdr:rowOff>
    </xdr:from>
    <xdr:to>
      <xdr:col>20</xdr:col>
      <xdr:colOff>397328</xdr:colOff>
      <xdr:row>30</xdr:row>
      <xdr:rowOff>157843</xdr:rowOff>
    </xdr:to>
    <xdr:graphicFrame macro="">
      <xdr:nvGraphicFramePr>
        <xdr:cNvPr id="7" name="Chart 6">
          <a:extLst>
            <a:ext uri="{FF2B5EF4-FFF2-40B4-BE49-F238E27FC236}">
              <a16:creationId xmlns:a16="http://schemas.microsoft.com/office/drawing/2014/main" id="{9D84FCAC-ED96-4377-B567-BD064619D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1.87450740741" createdVersion="8" refreshedVersion="8" minRefreshableVersion="3" recordCount="69" xr:uid="{F29E965D-9D54-4C5C-91CA-A2FE996C0863}">
  <cacheSource type="worksheet">
    <worksheetSource name="supply_chain_data"/>
  </cacheSource>
  <cacheFields count="29">
    <cacheField name="SKU" numFmtId="0">
      <sharedItems/>
    </cacheField>
    <cacheField name="Product type" numFmtId="0">
      <sharedItems count="3">
        <s v="haircare"/>
        <s v="skincare"/>
        <s v="cosmetics"/>
      </sharedItems>
    </cacheField>
    <cacheField name="Customer demographics" numFmtId="0">
      <sharedItems count="3">
        <s v="Non-binary"/>
        <s v="Female"/>
        <s v="Male"/>
      </sharedItems>
    </cacheField>
    <cacheField name="Supplier name" numFmtId="0">
      <sharedItems count="5">
        <s v="Supplier 3"/>
        <s v="Supplier 5"/>
        <s v="Supplier 1"/>
        <s v="Supplier 4"/>
        <s v="Supplier 2"/>
      </sharedItems>
    </cacheField>
    <cacheField name="Location" numFmtId="0">
      <sharedItems count="5">
        <s v="Mumbai"/>
        <s v="Kolkata"/>
        <s v="Delhi"/>
        <s v="Bangalore"/>
        <s v="Chennai"/>
      </sharedItems>
    </cacheField>
    <cacheField name="Production volumes" numFmtId="0">
      <sharedItems containsSemiMixedTypes="0" containsString="0" containsNumber="1" containsInteger="1" minValue="104" maxValue="985"/>
    </cacheField>
    <cacheField name="Manufacturing costs" numFmtId="0">
      <sharedItems containsSemiMixedTypes="0" containsString="0" containsNumber="1" minValue="1.0900000000000001" maxValue="99.47"/>
    </cacheField>
    <cacheField name="Manufacturing lead time" numFmtId="0">
      <sharedItems containsSemiMixedTypes="0" containsString="0" containsNumber="1" containsInteger="1" minValue="1" maxValue="30"/>
    </cacheField>
    <cacheField name="Defect rates" numFmtId="0">
      <sharedItems containsSemiMixedTypes="0" containsString="0" containsNumber="1" minValue="2.0000000000000001E-4" maxValue="4.9399999999999999E-2"/>
    </cacheField>
    <cacheField name="Inspection results" numFmtId="0">
      <sharedItems count="3">
        <s v="Pending"/>
        <s v="Fail"/>
        <s v="Pass"/>
      </sharedItems>
    </cacheField>
    <cacheField name="Price" numFmtId="0">
      <sharedItems containsSemiMixedTypes="0" containsString="0" containsNumber="1" minValue="1.7" maxValue="99.17"/>
    </cacheField>
    <cacheField name="Stock levels" numFmtId="0">
      <sharedItems containsSemiMixedTypes="0" containsString="0" containsNumber="1" containsInteger="1" minValue="0" maxValue="100"/>
    </cacheField>
    <cacheField name="Availability" numFmtId="0">
      <sharedItems containsSemiMixedTypes="0" containsString="0" containsNumber="1" minValue="0.01" maxValue="0.98"/>
    </cacheField>
    <cacheField name="Supplier Lead times (day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Number of products sold" numFmtId="0">
      <sharedItems containsSemiMixedTypes="0" containsString="0" containsNumber="1" containsInteger="1" minValue="24" maxValue="996"/>
    </cacheField>
    <cacheField name="Revenue generated" numFmtId="0">
      <sharedItems containsSemiMixedTypes="0" containsString="0" containsNumber="1" minValue="1061.6199999999999" maxValue="9866.4699999999993"/>
    </cacheField>
    <cacheField name="Transportation modes" numFmtId="0">
      <sharedItems count="4">
        <s v="Road"/>
        <s v="Rail"/>
        <s v="Air"/>
        <s v="Sea"/>
      </sharedItems>
    </cacheField>
    <cacheField name="Routes" numFmtId="0">
      <sharedItems count="3">
        <s v="Route B"/>
        <s v="Route A"/>
        <s v="Route C"/>
      </sharedItems>
    </cacheField>
    <cacheField name="Shipping carriers" numFmtId="0">
      <sharedItems count="3">
        <s v="Carrier B"/>
        <s v="Carrier A"/>
        <s v="Carrier C"/>
      </sharedItems>
    </cacheField>
    <cacheField name="Shipping costs" numFmtId="0">
      <sharedItems containsSemiMixedTypes="0" containsString="0" containsNumber="1" minValue="1.01" maxValue="9.9"/>
    </cacheField>
    <cacheField name="Costs" numFmtId="0">
      <sharedItems containsSemiMixedTypes="0" containsString="0" containsNumber="1" minValue="103.92" maxValue="997.41"/>
    </cacheField>
    <cacheField name="Shipping times" numFmtId="0">
      <sharedItems containsSemiMixedTypes="0" containsString="0" containsNumber="1" containsInteger="1" minValue="1" maxValue="10"/>
    </cacheField>
    <cacheField name="Delivery Lead time (days)" numFmtId="0">
      <sharedItems containsSemiMixedTypes="0" containsString="0" containsNumber="1" containsInteger="1" minValue="1" maxValue="30"/>
    </cacheField>
    <cacheField name="Total Operation Cost" numFmtId="0">
      <sharedItems containsSemiMixedTypes="0" containsString="0" containsNumber="1" minValue="139.34" maxValue="1083.43"/>
    </cacheField>
    <cacheField name="Net profit" numFmtId="0">
      <sharedItems containsSemiMixedTypes="0" containsString="0" containsNumber="1" minValue="739.8599999999999" maxValue="9337.48"/>
    </cacheField>
    <cacheField name="Profit Margin" numFmtId="0">
      <sharedItems containsSemiMixedTypes="0" containsString="0" containsNumber="1" minValue="0.46051332930276301" maxValue="0.98218951157285495"/>
    </cacheField>
    <cacheField name="Inventory Value" numFmtId="0">
      <sharedItems containsSemiMixedTypes="0" containsString="0" containsNumber="1" minValue="0" maxValue="7746.42"/>
    </cacheField>
    <cacheField name="Cost to Revenue Ratio" numFmtId="0" formula="'Total Operation Cost'/'Revenue generated'" databaseField="0"/>
  </cacheFields>
  <extLst>
    <ext xmlns:x14="http://schemas.microsoft.com/office/spreadsheetml/2009/9/main" uri="{725AE2AE-9491-48be-B2B4-4EB974FC3084}">
      <x14:pivotCacheDefinition pivotCacheId="1973426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SKU0"/>
    <x v="0"/>
    <x v="0"/>
    <x v="0"/>
    <x v="0"/>
    <n v="215"/>
    <n v="46.28"/>
    <n v="29"/>
    <n v="2.3E-3"/>
    <x v="0"/>
    <n v="69.81"/>
    <n v="58"/>
    <n v="0.55000000000000004"/>
    <n v="7"/>
    <n v="96"/>
    <n v="802"/>
    <n v="8662"/>
    <x v="0"/>
    <x v="0"/>
    <x v="0"/>
    <n v="2.96"/>
    <n v="187.75"/>
    <n v="4"/>
    <n v="29"/>
    <n v="236.99"/>
    <n v="8425.01"/>
    <n v="0.97264026783652702"/>
    <n v="4048.98"/>
  </r>
  <r>
    <s v="SKU1"/>
    <x v="1"/>
    <x v="1"/>
    <x v="0"/>
    <x v="0"/>
    <n v="517"/>
    <n v="33.619999999999997"/>
    <n v="30"/>
    <n v="4.8500000000000001E-2"/>
    <x v="0"/>
    <n v="14.84"/>
    <n v="53"/>
    <n v="0.95"/>
    <n v="30"/>
    <n v="37"/>
    <n v="736"/>
    <n v="7460.9"/>
    <x v="0"/>
    <x v="0"/>
    <x v="1"/>
    <n v="9.7200000000000006"/>
    <n v="503.07"/>
    <n v="2"/>
    <n v="23"/>
    <n v="546.41"/>
    <n v="6914.49"/>
    <n v="0.92676352718840904"/>
    <n v="786.52"/>
  </r>
  <r>
    <s v="SKU3"/>
    <x v="1"/>
    <x v="0"/>
    <x v="1"/>
    <x v="1"/>
    <n v="937"/>
    <n v="35.619999999999997"/>
    <n v="18"/>
    <n v="4.7500000000000001E-2"/>
    <x v="1"/>
    <n v="61.16"/>
    <n v="23"/>
    <n v="0.68"/>
    <n v="13"/>
    <n v="59"/>
    <n v="83"/>
    <n v="7766.84"/>
    <x v="1"/>
    <x v="1"/>
    <x v="2"/>
    <n v="1.73"/>
    <n v="254.78"/>
    <n v="6"/>
    <n v="24"/>
    <n v="292.13"/>
    <n v="7474.71"/>
    <n v="0.96238753469879601"/>
    <n v="1406.6799999999998"/>
  </r>
  <r>
    <s v="SKU4"/>
    <x v="1"/>
    <x v="0"/>
    <x v="2"/>
    <x v="2"/>
    <n v="414"/>
    <n v="92.07"/>
    <n v="3"/>
    <n v="3.15E-2"/>
    <x v="1"/>
    <n v="4.8099999999999996"/>
    <n v="5"/>
    <n v="0.26"/>
    <n v="3"/>
    <n v="56"/>
    <n v="871"/>
    <n v="2686.51"/>
    <x v="2"/>
    <x v="1"/>
    <x v="1"/>
    <n v="3.89"/>
    <n v="923.44"/>
    <n v="8"/>
    <n v="5"/>
    <n v="1019.4000000000001"/>
    <n v="1667.1100000000001"/>
    <n v="0.62054859278394603"/>
    <n v="24.049999999999997"/>
  </r>
  <r>
    <s v="SKU5"/>
    <x v="0"/>
    <x v="0"/>
    <x v="3"/>
    <x v="3"/>
    <n v="104"/>
    <n v="56.77"/>
    <n v="17"/>
    <n v="2.7799999999999998E-2"/>
    <x v="1"/>
    <n v="1.7"/>
    <n v="90"/>
    <n v="0.87"/>
    <n v="27"/>
    <n v="66"/>
    <n v="147"/>
    <n v="2828.35"/>
    <x v="0"/>
    <x v="1"/>
    <x v="0"/>
    <n v="4.4400000000000004"/>
    <n v="235.46"/>
    <n v="3"/>
    <n v="10"/>
    <n v="296.67"/>
    <n v="2531.6799999999998"/>
    <n v="0.89510845545989703"/>
    <n v="153"/>
  </r>
  <r>
    <s v="SKU6"/>
    <x v="1"/>
    <x v="2"/>
    <x v="0"/>
    <x v="1"/>
    <n v="314"/>
    <n v="1.0900000000000001"/>
    <n v="24"/>
    <n v="0.01"/>
    <x v="0"/>
    <n v="4.08"/>
    <n v="11"/>
    <n v="0.48"/>
    <n v="15"/>
    <n v="58"/>
    <n v="65"/>
    <n v="7823.48"/>
    <x v="3"/>
    <x v="1"/>
    <x v="2"/>
    <n v="3.88"/>
    <n v="134.37"/>
    <n v="8"/>
    <n v="14"/>
    <n v="139.34"/>
    <n v="7684.1399999999994"/>
    <n v="0.98218951157285495"/>
    <n v="44.88"/>
  </r>
  <r>
    <s v="SKU7"/>
    <x v="2"/>
    <x v="1"/>
    <x v="3"/>
    <x v="3"/>
    <n v="564"/>
    <n v="99.47"/>
    <n v="1"/>
    <n v="4.0000000000000001E-3"/>
    <x v="1"/>
    <n v="42.96"/>
    <n v="93"/>
    <n v="0.59"/>
    <n v="17"/>
    <n v="11"/>
    <n v="426"/>
    <n v="8496.1"/>
    <x v="0"/>
    <x v="2"/>
    <x v="0"/>
    <n v="2.35"/>
    <n v="802.06"/>
    <n v="1"/>
    <n v="22"/>
    <n v="903.87999999999988"/>
    <n v="7592.22"/>
    <n v="0.893612363319641"/>
    <n v="3995.28"/>
  </r>
  <r>
    <s v="SKU8"/>
    <x v="2"/>
    <x v="1"/>
    <x v="3"/>
    <x v="0"/>
    <n v="769"/>
    <n v="11.42"/>
    <n v="8"/>
    <n v="2.7099999999999999E-2"/>
    <x v="0"/>
    <n v="68.72"/>
    <n v="5"/>
    <n v="0.78"/>
    <n v="10"/>
    <n v="15"/>
    <n v="150"/>
    <n v="7517.36"/>
    <x v="3"/>
    <x v="0"/>
    <x v="2"/>
    <n v="3.4"/>
    <n v="505.56"/>
    <n v="7"/>
    <n v="13"/>
    <n v="520.38"/>
    <n v="6996.98"/>
    <n v="0.93077622995306897"/>
    <n v="343.6"/>
  </r>
  <r>
    <s v="SKU10"/>
    <x v="1"/>
    <x v="0"/>
    <x v="1"/>
    <x v="1"/>
    <n v="830"/>
    <n v="96.53"/>
    <n v="5"/>
    <n v="1.7299999999999999E-2"/>
    <x v="2"/>
    <n v="15.71"/>
    <n v="51"/>
    <n v="0.11"/>
    <n v="13"/>
    <n v="80"/>
    <n v="996"/>
    <n v="2330.9699999999998"/>
    <x v="0"/>
    <x v="0"/>
    <x v="2"/>
    <n v="8.67"/>
    <n v="806.1"/>
    <n v="2"/>
    <n v="18"/>
    <n v="911.30000000000007"/>
    <n v="1419.6699999999996"/>
    <n v="0.60904687748019004"/>
    <n v="801.21"/>
  </r>
  <r>
    <s v="SKU11"/>
    <x v="1"/>
    <x v="1"/>
    <x v="4"/>
    <x v="1"/>
    <n v="362"/>
    <n v="27.59"/>
    <n v="11"/>
    <n v="2.0000000000000001E-4"/>
    <x v="0"/>
    <n v="90.64"/>
    <n v="46"/>
    <n v="0.95"/>
    <n v="23"/>
    <n v="60"/>
    <n v="960"/>
    <n v="6099.94"/>
    <x v="2"/>
    <x v="1"/>
    <x v="1"/>
    <n v="4.5199999999999996"/>
    <n v="126.72"/>
    <n v="1"/>
    <n v="28"/>
    <n v="158.82999999999998"/>
    <n v="5941.11"/>
    <n v="0.97396203897087497"/>
    <n v="4169.4399999999996"/>
  </r>
  <r>
    <s v="SKU13"/>
    <x v="1"/>
    <x v="2"/>
    <x v="1"/>
    <x v="3"/>
    <n v="173"/>
    <n v="97.83"/>
    <n v="10"/>
    <n v="1.6299999999999999E-2"/>
    <x v="0"/>
    <n v="16.16"/>
    <n v="80"/>
    <n v="0.05"/>
    <n v="8"/>
    <n v="48"/>
    <n v="249"/>
    <n v="4052.74"/>
    <x v="0"/>
    <x v="0"/>
    <x v="1"/>
    <n v="9.5399999999999991"/>
    <n v="547.24"/>
    <n v="9"/>
    <n v="23"/>
    <n v="654.61"/>
    <n v="3398.1299999999997"/>
    <n v="0.83847717840276004"/>
    <n v="1292.8"/>
  </r>
  <r>
    <s v="SKU14"/>
    <x v="1"/>
    <x v="0"/>
    <x v="2"/>
    <x v="1"/>
    <n v="558"/>
    <n v="5.79"/>
    <n v="14"/>
    <n v="1E-3"/>
    <x v="0"/>
    <n v="99.17"/>
    <n v="54"/>
    <n v="0.26"/>
    <n v="29"/>
    <n v="78"/>
    <n v="562"/>
    <n v="8653.57"/>
    <x v="2"/>
    <x v="0"/>
    <x v="0"/>
    <n v="2.04"/>
    <n v="929.24"/>
    <n v="5"/>
    <n v="25"/>
    <n v="937.07"/>
    <n v="7716.5"/>
    <n v="0.89171289999387504"/>
    <n v="5355.18"/>
  </r>
  <r>
    <s v="SKU15"/>
    <x v="1"/>
    <x v="0"/>
    <x v="2"/>
    <x v="3"/>
    <n v="580"/>
    <n v="97.12"/>
    <n v="7"/>
    <n v="2.2599999999999999E-2"/>
    <x v="2"/>
    <n v="36.99"/>
    <n v="9"/>
    <n v="0.94"/>
    <n v="8"/>
    <n v="69"/>
    <n v="469"/>
    <n v="5442.09"/>
    <x v="3"/>
    <x v="0"/>
    <x v="0"/>
    <n v="2.42"/>
    <n v="127.86"/>
    <n v="7"/>
    <n v="14"/>
    <n v="227.4"/>
    <n v="5214.6900000000005"/>
    <n v="0.95821458300028095"/>
    <n v="332.91"/>
  </r>
  <r>
    <s v="SKU16"/>
    <x v="1"/>
    <x v="1"/>
    <x v="2"/>
    <x v="3"/>
    <n v="399"/>
    <n v="77.11"/>
    <n v="21"/>
    <n v="1.01E-2"/>
    <x v="2"/>
    <n v="7.55"/>
    <n v="2"/>
    <n v="0.74"/>
    <n v="5"/>
    <n v="78"/>
    <n v="280"/>
    <n v="6453.8"/>
    <x v="2"/>
    <x v="1"/>
    <x v="0"/>
    <n v="4.1900000000000004"/>
    <n v="865.53"/>
    <n v="1"/>
    <n v="3"/>
    <n v="946.82999999999993"/>
    <n v="5506.97"/>
    <n v="0.85329108432241496"/>
    <n v="15.1"/>
  </r>
  <r>
    <s v="SKU17"/>
    <x v="2"/>
    <x v="1"/>
    <x v="2"/>
    <x v="4"/>
    <n v="453"/>
    <n v="47.68"/>
    <n v="16"/>
    <n v="1E-3"/>
    <x v="1"/>
    <n v="81.459999999999994"/>
    <n v="45"/>
    <n v="0.82"/>
    <n v="17"/>
    <n v="85"/>
    <n v="126"/>
    <n v="2629.4"/>
    <x v="2"/>
    <x v="2"/>
    <x v="2"/>
    <n v="3.59"/>
    <n v="670.93"/>
    <n v="9"/>
    <n v="7"/>
    <n v="722.19999999999993"/>
    <n v="1907.2000000000003"/>
    <n v="0.72533657868715296"/>
    <n v="3665.7"/>
  </r>
  <r>
    <s v="SKU24"/>
    <x v="0"/>
    <x v="2"/>
    <x v="4"/>
    <x v="3"/>
    <n v="447"/>
    <n v="40.380000000000003"/>
    <n v="3"/>
    <n v="3.6900000000000002E-2"/>
    <x v="0"/>
    <n v="4.16"/>
    <n v="4"/>
    <n v="0.32"/>
    <n v="26"/>
    <n v="2"/>
    <n v="209"/>
    <n v="9049.08"/>
    <x v="2"/>
    <x v="1"/>
    <x v="2"/>
    <n v="9.74"/>
    <n v="758.72"/>
    <n v="8"/>
    <n v="28"/>
    <n v="808.84"/>
    <n v="8240.24"/>
    <n v="0.91061632784769297"/>
    <n v="16.64"/>
  </r>
  <r>
    <s v="SKU25"/>
    <x v="0"/>
    <x v="2"/>
    <x v="3"/>
    <x v="1"/>
    <n v="934"/>
    <n v="78.28"/>
    <n v="23"/>
    <n v="3.7999999999999999E-2"/>
    <x v="0"/>
    <n v="39.630000000000003"/>
    <n v="82"/>
    <n v="0.73"/>
    <n v="11"/>
    <n v="52"/>
    <n v="142"/>
    <n v="2174.7800000000002"/>
    <x v="0"/>
    <x v="0"/>
    <x v="2"/>
    <n v="2.23"/>
    <n v="458.54"/>
    <n v="3"/>
    <n v="19"/>
    <n v="539.05000000000007"/>
    <n v="1635.73"/>
    <n v="0.75213584822372803"/>
    <n v="3249.6600000000003"/>
  </r>
  <r>
    <s v="SKU26"/>
    <x v="0"/>
    <x v="2"/>
    <x v="4"/>
    <x v="3"/>
    <n v="171"/>
    <n v="15.97"/>
    <n v="4"/>
    <n v="2.12E-2"/>
    <x v="2"/>
    <n v="97.45"/>
    <n v="59"/>
    <n v="0.09"/>
    <n v="16"/>
    <n v="48"/>
    <n v="353"/>
    <n v="3716.49"/>
    <x v="1"/>
    <x v="1"/>
    <x v="0"/>
    <n v="6.51"/>
    <n v="617.87"/>
    <n v="4"/>
    <n v="26"/>
    <n v="640.35"/>
    <n v="3076.14"/>
    <n v="0.82770033015022204"/>
    <n v="5749.55"/>
  </r>
  <r>
    <s v="SKU28"/>
    <x v="2"/>
    <x v="1"/>
    <x v="2"/>
    <x v="0"/>
    <n v="171"/>
    <n v="59.43"/>
    <n v="7"/>
    <n v="8.2000000000000007E-3"/>
    <x v="1"/>
    <n v="2.4"/>
    <n v="48"/>
    <n v="0.12"/>
    <n v="15"/>
    <n v="24"/>
    <n v="394"/>
    <n v="6117.32"/>
    <x v="2"/>
    <x v="1"/>
    <x v="0"/>
    <n v="9.9"/>
    <n v="123.44"/>
    <n v="4"/>
    <n v="13"/>
    <n v="192.76999999999998"/>
    <n v="5924.5499999999993"/>
    <n v="0.968487834541924"/>
    <n v="115.19999999999999"/>
  </r>
  <r>
    <s v="SKU29"/>
    <x v="2"/>
    <x v="1"/>
    <x v="2"/>
    <x v="1"/>
    <n v="329"/>
    <n v="39.29"/>
    <n v="7"/>
    <n v="3.8800000000000001E-2"/>
    <x v="2"/>
    <n v="63.45"/>
    <n v="45"/>
    <n v="0.03"/>
    <n v="5"/>
    <n v="67"/>
    <n v="253"/>
    <n v="8318.9"/>
    <x v="0"/>
    <x v="0"/>
    <x v="0"/>
    <n v="8.1"/>
    <n v="764.94"/>
    <n v="7"/>
    <n v="16"/>
    <n v="812.33"/>
    <n v="7506.57"/>
    <n v="0.90235127240380397"/>
    <n v="2855.25"/>
  </r>
  <r>
    <s v="SKU30"/>
    <x v="0"/>
    <x v="2"/>
    <x v="3"/>
    <x v="1"/>
    <n v="806"/>
    <n v="51.63"/>
    <n v="30"/>
    <n v="9.7000000000000003E-3"/>
    <x v="0"/>
    <n v="8.02"/>
    <n v="60"/>
    <n v="0.1"/>
    <n v="26"/>
    <n v="35"/>
    <n v="327"/>
    <n v="2766.34"/>
    <x v="0"/>
    <x v="2"/>
    <x v="0"/>
    <n v="8.9499999999999993"/>
    <n v="880.08"/>
    <n v="7"/>
    <n v="27"/>
    <n v="940.66000000000008"/>
    <n v="1825.68"/>
    <n v="0.65996226060426399"/>
    <n v="481.2"/>
  </r>
  <r>
    <s v="SKU31"/>
    <x v="1"/>
    <x v="2"/>
    <x v="0"/>
    <x v="4"/>
    <n v="461"/>
    <n v="60.25"/>
    <n v="8"/>
    <n v="2.9899999999999999E-2"/>
    <x v="0"/>
    <n v="50.85"/>
    <n v="6"/>
    <n v="0.28000000000000003"/>
    <n v="17"/>
    <n v="44"/>
    <n v="168"/>
    <n v="9655.14"/>
    <x v="1"/>
    <x v="2"/>
    <x v="0"/>
    <n v="2.68"/>
    <n v="609.38"/>
    <n v="4"/>
    <n v="24"/>
    <n v="672.31"/>
    <n v="8982.83"/>
    <n v="0.93036765909142705"/>
    <n v="305.10000000000002"/>
  </r>
  <r>
    <s v="SKU33"/>
    <x v="2"/>
    <x v="0"/>
    <x v="1"/>
    <x v="4"/>
    <n v="251"/>
    <n v="23.85"/>
    <n v="23"/>
    <n v="3.5400000000000001E-2"/>
    <x v="1"/>
    <n v="64.8"/>
    <n v="4"/>
    <n v="0.63"/>
    <n v="17"/>
    <n v="95"/>
    <n v="616"/>
    <n v="5150"/>
    <x v="3"/>
    <x v="1"/>
    <x v="2"/>
    <n v="4.8600000000000003"/>
    <n v="371.26"/>
    <n v="9"/>
    <n v="1"/>
    <n v="399.96999999999997"/>
    <n v="4750.03"/>
    <n v="0.92233592233009698"/>
    <n v="259.2"/>
  </r>
  <r>
    <s v="SKU35"/>
    <x v="2"/>
    <x v="1"/>
    <x v="2"/>
    <x v="2"/>
    <n v="367"/>
    <n v="58"/>
    <n v="2"/>
    <n v="5.4000000000000003E-3"/>
    <x v="2"/>
    <n v="84.96"/>
    <n v="42"/>
    <n v="0.11"/>
    <n v="27"/>
    <n v="85"/>
    <n v="449"/>
    <n v="6541.33"/>
    <x v="3"/>
    <x v="2"/>
    <x v="2"/>
    <n v="5.29"/>
    <n v="553.41999999999996"/>
    <n v="8"/>
    <n v="3"/>
    <n v="616.70999999999992"/>
    <n v="5924.62"/>
    <n v="0.90572100780728104"/>
    <n v="3568.3199999999997"/>
  </r>
  <r>
    <s v="SKU36"/>
    <x v="1"/>
    <x v="1"/>
    <x v="4"/>
    <x v="2"/>
    <n v="671"/>
    <n v="45.53"/>
    <n v="19"/>
    <n v="3.8100000000000002E-2"/>
    <x v="1"/>
    <n v="9.81"/>
    <n v="18"/>
    <n v="0.34"/>
    <n v="23"/>
    <n v="28"/>
    <n v="963"/>
    <n v="7573.4"/>
    <x v="2"/>
    <x v="2"/>
    <x v="0"/>
    <n v="2.11"/>
    <n v="403.81"/>
    <n v="3"/>
    <n v="26"/>
    <n v="451.45"/>
    <n v="7121.95"/>
    <n v="0.94039004938336801"/>
    <n v="176.58"/>
  </r>
  <r>
    <s v="SKU37"/>
    <x v="1"/>
    <x v="1"/>
    <x v="0"/>
    <x v="1"/>
    <n v="867"/>
    <n v="34.340000000000003"/>
    <n v="15"/>
    <n v="2.6100000000000002E-2"/>
    <x v="0"/>
    <n v="23.4"/>
    <n v="25"/>
    <n v="0.05"/>
    <n v="8"/>
    <n v="21"/>
    <n v="963"/>
    <n v="2438.34"/>
    <x v="3"/>
    <x v="1"/>
    <x v="1"/>
    <n v="1.53"/>
    <n v="183.93"/>
    <n v="9"/>
    <n v="24"/>
    <n v="219.8"/>
    <n v="2218.54"/>
    <n v="0.90985670579164502"/>
    <n v="585"/>
  </r>
  <r>
    <s v="SKU38"/>
    <x v="2"/>
    <x v="0"/>
    <x v="1"/>
    <x v="0"/>
    <n v="841"/>
    <n v="5.93"/>
    <n v="12"/>
    <n v="6.1000000000000004E-3"/>
    <x v="0"/>
    <n v="52.08"/>
    <n v="69"/>
    <n v="0.75"/>
    <n v="1"/>
    <n v="88"/>
    <n v="705"/>
    <n v="9692.32"/>
    <x v="2"/>
    <x v="0"/>
    <x v="0"/>
    <n v="9.24"/>
    <n v="339.67"/>
    <n v="5"/>
    <n v="10"/>
    <n v="354.84000000000003"/>
    <n v="9337.48"/>
    <n v="0.963389570298958"/>
    <n v="3593.52"/>
  </r>
  <r>
    <s v="SKU39"/>
    <x v="1"/>
    <x v="1"/>
    <x v="4"/>
    <x v="1"/>
    <n v="791"/>
    <n v="9.01"/>
    <n v="6"/>
    <n v="1.4500000000000001E-2"/>
    <x v="1"/>
    <n v="19.13"/>
    <n v="78"/>
    <n v="0.26"/>
    <n v="29"/>
    <n v="34"/>
    <n v="176"/>
    <n v="1912.47"/>
    <x v="2"/>
    <x v="0"/>
    <x v="1"/>
    <n v="5.56"/>
    <n v="653.66999999999996"/>
    <n v="3"/>
    <n v="30"/>
    <n v="668.24"/>
    <n v="1244.23"/>
    <n v="0.65058798307947296"/>
    <n v="1492.1399999999999"/>
  </r>
  <r>
    <s v="SKU40"/>
    <x v="1"/>
    <x v="1"/>
    <x v="2"/>
    <x v="1"/>
    <n v="793"/>
    <n v="88.18"/>
    <n v="1"/>
    <n v="4.2099999999999999E-2"/>
    <x v="0"/>
    <n v="80.540000000000006"/>
    <n v="90"/>
    <n v="0.97"/>
    <n v="20"/>
    <n v="39"/>
    <n v="933"/>
    <n v="5724.96"/>
    <x v="0"/>
    <x v="1"/>
    <x v="2"/>
    <n v="7.23"/>
    <n v="529.80999999999995"/>
    <n v="8"/>
    <n v="18"/>
    <n v="625.21999999999991"/>
    <n v="5099.74"/>
    <n v="0.89079050333976095"/>
    <n v="7248.6"/>
  </r>
  <r>
    <s v="SKU41"/>
    <x v="1"/>
    <x v="1"/>
    <x v="3"/>
    <x v="4"/>
    <n v="892"/>
    <n v="95.33"/>
    <n v="7"/>
    <n v="5.0000000000000001E-4"/>
    <x v="1"/>
    <n v="99.11"/>
    <n v="64"/>
    <n v="0.35"/>
    <n v="19"/>
    <n v="38"/>
    <n v="556"/>
    <n v="5521.21"/>
    <x v="3"/>
    <x v="1"/>
    <x v="0"/>
    <n v="5.77"/>
    <n v="275.52"/>
    <n v="8"/>
    <n v="18"/>
    <n v="376.62"/>
    <n v="5144.59"/>
    <n v="0.93178669168533701"/>
    <n v="6343.04"/>
  </r>
  <r>
    <s v="SKU42"/>
    <x v="1"/>
    <x v="1"/>
    <x v="1"/>
    <x v="3"/>
    <n v="179"/>
    <n v="96.42"/>
    <n v="7"/>
    <n v="4.9399999999999999E-2"/>
    <x v="1"/>
    <n v="46.53"/>
    <n v="22"/>
    <n v="0.98"/>
    <n v="27"/>
    <n v="57"/>
    <n v="155"/>
    <n v="1839.61"/>
    <x v="0"/>
    <x v="1"/>
    <x v="2"/>
    <n v="7.53"/>
    <n v="635.66"/>
    <n v="4"/>
    <n v="26"/>
    <n v="739.61"/>
    <n v="1100"/>
    <n v="0.59795282695788798"/>
    <n v="1023.6600000000001"/>
  </r>
  <r>
    <s v="SKU44"/>
    <x v="2"/>
    <x v="1"/>
    <x v="4"/>
    <x v="2"/>
    <n v="834"/>
    <n v="22.55"/>
    <n v="18"/>
    <n v="2.9600000000000001E-2"/>
    <x v="1"/>
    <n v="51.36"/>
    <n v="13"/>
    <n v="0.34"/>
    <n v="19"/>
    <n v="72"/>
    <n v="919"/>
    <n v="7152.29"/>
    <x v="1"/>
    <x v="1"/>
    <x v="2"/>
    <n v="7.58"/>
    <n v="610.45000000000005"/>
    <n v="6"/>
    <n v="7"/>
    <n v="640.58000000000004"/>
    <n v="6511.71"/>
    <n v="0.91043707679638297"/>
    <n v="667.68"/>
  </r>
  <r>
    <s v="SKU45"/>
    <x v="0"/>
    <x v="2"/>
    <x v="4"/>
    <x v="4"/>
    <n v="794"/>
    <n v="66.31"/>
    <n v="25"/>
    <n v="3.2199999999999999E-2"/>
    <x v="2"/>
    <n v="33.78"/>
    <n v="93"/>
    <n v="0.01"/>
    <n v="7"/>
    <n v="52"/>
    <n v="24"/>
    <n v="5267.96"/>
    <x v="1"/>
    <x v="1"/>
    <x v="0"/>
    <n v="5.22"/>
    <n v="495.31"/>
    <n v="6"/>
    <n v="25"/>
    <n v="566.84"/>
    <n v="4701.12"/>
    <n v="0.89239857553967805"/>
    <n v="3141.54"/>
  </r>
  <r>
    <s v="SKU46"/>
    <x v="0"/>
    <x v="0"/>
    <x v="0"/>
    <x v="4"/>
    <n v="870"/>
    <n v="77.319999999999993"/>
    <n v="23"/>
    <n v="3.6499999999999998E-2"/>
    <x v="0"/>
    <n v="27.08"/>
    <n v="92"/>
    <n v="0.75"/>
    <n v="29"/>
    <n v="6"/>
    <n v="859"/>
    <n v="2556.77"/>
    <x v="0"/>
    <x v="0"/>
    <x v="0"/>
    <n v="4.07"/>
    <n v="380.44"/>
    <n v="8"/>
    <n v="18"/>
    <n v="461.83"/>
    <n v="2094.94"/>
    <n v="0.81936975167887605"/>
    <n v="2491.3599999999997"/>
  </r>
  <r>
    <s v="SKU47"/>
    <x v="1"/>
    <x v="2"/>
    <x v="2"/>
    <x v="1"/>
    <n v="964"/>
    <n v="19.71"/>
    <n v="20"/>
    <n v="3.8E-3"/>
    <x v="0"/>
    <n v="95.71"/>
    <n v="4"/>
    <n v="0.93"/>
    <n v="15"/>
    <n v="51"/>
    <n v="910"/>
    <n v="7089.47"/>
    <x v="1"/>
    <x v="1"/>
    <x v="0"/>
    <n v="8.98"/>
    <n v="581.6"/>
    <n v="9"/>
    <n v="10"/>
    <n v="610.29000000000008"/>
    <n v="6479.18"/>
    <n v="0.91391599089917896"/>
    <n v="382.84"/>
  </r>
  <r>
    <s v="SKU48"/>
    <x v="0"/>
    <x v="0"/>
    <x v="4"/>
    <x v="0"/>
    <n v="109"/>
    <n v="23.13"/>
    <n v="18"/>
    <n v="1.7000000000000001E-2"/>
    <x v="1"/>
    <n v="76.040000000000006"/>
    <n v="30"/>
    <n v="0.28000000000000003"/>
    <n v="16"/>
    <n v="9"/>
    <n v="29"/>
    <n v="7397.07"/>
    <x v="1"/>
    <x v="0"/>
    <x v="2"/>
    <n v="7.1"/>
    <n v="768.65"/>
    <n v="3"/>
    <n v="9"/>
    <n v="798.88"/>
    <n v="6598.19"/>
    <n v="0.892000481271639"/>
    <n v="2281.2000000000003"/>
  </r>
  <r>
    <s v="SKU50"/>
    <x v="2"/>
    <x v="1"/>
    <x v="4"/>
    <x v="2"/>
    <n v="306"/>
    <n v="45.18"/>
    <n v="21"/>
    <n v="4.7500000000000001E-2"/>
    <x v="1"/>
    <n v="14.2"/>
    <n v="31"/>
    <n v="0.91"/>
    <n v="23"/>
    <n v="82"/>
    <n v="633"/>
    <n v="5910.89"/>
    <x v="1"/>
    <x v="0"/>
    <x v="1"/>
    <n v="6.25"/>
    <n v="496.25"/>
    <n v="10"/>
    <n v="20"/>
    <n v="547.67999999999995"/>
    <n v="5363.21"/>
    <n v="0.90734390252567698"/>
    <n v="440.2"/>
  </r>
  <r>
    <s v="SKU51"/>
    <x v="0"/>
    <x v="2"/>
    <x v="1"/>
    <x v="3"/>
    <n v="673"/>
    <n v="14.19"/>
    <n v="28"/>
    <n v="1.77E-2"/>
    <x v="0"/>
    <n v="26.7"/>
    <n v="100"/>
    <n v="0.61"/>
    <n v="4"/>
    <n v="52"/>
    <n v="154"/>
    <n v="9866.4699999999993"/>
    <x v="0"/>
    <x v="1"/>
    <x v="1"/>
    <n v="4.78"/>
    <n v="694.98"/>
    <n v="1"/>
    <n v="18"/>
    <n v="713.95"/>
    <n v="9152.5199999999986"/>
    <n v="0.92763876036718296"/>
    <n v="2670"/>
  </r>
  <r>
    <s v="SKU52"/>
    <x v="1"/>
    <x v="2"/>
    <x v="2"/>
    <x v="0"/>
    <n v="727"/>
    <n v="9.17"/>
    <n v="27"/>
    <n v="2.12E-2"/>
    <x v="0"/>
    <n v="98.03"/>
    <n v="64"/>
    <n v="0.01"/>
    <n v="11"/>
    <n v="11"/>
    <n v="820"/>
    <n v="9435.76"/>
    <x v="2"/>
    <x v="2"/>
    <x v="0"/>
    <n v="8.6300000000000008"/>
    <n v="602.9"/>
    <n v="1"/>
    <n v="10"/>
    <n v="620.69999999999993"/>
    <n v="8815.06"/>
    <n v="0.93421833535401499"/>
    <n v="6273.92"/>
  </r>
  <r>
    <s v="SKU53"/>
    <x v="1"/>
    <x v="2"/>
    <x v="2"/>
    <x v="2"/>
    <n v="631"/>
    <n v="83.34"/>
    <n v="17"/>
    <n v="1.41E-2"/>
    <x v="0"/>
    <n v="30.34"/>
    <n v="96"/>
    <n v="0.93"/>
    <n v="25"/>
    <n v="54"/>
    <n v="242"/>
    <n v="8232.33"/>
    <x v="2"/>
    <x v="0"/>
    <x v="0"/>
    <n v="1.01"/>
    <n v="750.74"/>
    <n v="3"/>
    <n v="1"/>
    <n v="835.09"/>
    <n v="7397.24"/>
    <n v="0.89855970302453902"/>
    <n v="2912.64"/>
  </r>
  <r>
    <s v="SKU54"/>
    <x v="0"/>
    <x v="0"/>
    <x v="2"/>
    <x v="1"/>
    <n v="497"/>
    <n v="30.19"/>
    <n v="29"/>
    <n v="2.4799999999999999E-2"/>
    <x v="2"/>
    <n v="31.15"/>
    <n v="33"/>
    <n v="0.11"/>
    <n v="22"/>
    <n v="61"/>
    <n v="622"/>
    <n v="6088.02"/>
    <x v="0"/>
    <x v="0"/>
    <x v="0"/>
    <n v="4.3099999999999996"/>
    <n v="814.07"/>
    <n v="3"/>
    <n v="26"/>
    <n v="848.57"/>
    <n v="5239.4500000000007"/>
    <n v="0.86061642373054004"/>
    <n v="1027.95"/>
  </r>
  <r>
    <s v="SKU55"/>
    <x v="0"/>
    <x v="2"/>
    <x v="4"/>
    <x v="2"/>
    <n v="918"/>
    <n v="30.32"/>
    <n v="5"/>
    <n v="4.5499999999999999E-2"/>
    <x v="1"/>
    <n v="79.86"/>
    <n v="97"/>
    <n v="0.16"/>
    <n v="11"/>
    <n v="11"/>
    <n v="701"/>
    <n v="2925.68"/>
    <x v="3"/>
    <x v="0"/>
    <x v="1"/>
    <n v="5.01"/>
    <n v="323.01"/>
    <n v="5"/>
    <n v="27"/>
    <n v="358.34"/>
    <n v="2567.3399999999997"/>
    <n v="0.87751907248913097"/>
    <n v="7746.42"/>
  </r>
  <r>
    <s v="SKU56"/>
    <x v="1"/>
    <x v="0"/>
    <x v="2"/>
    <x v="0"/>
    <n v="826"/>
    <n v="12.84"/>
    <n v="28"/>
    <n v="1.17E-2"/>
    <x v="2"/>
    <n v="20.99"/>
    <n v="25"/>
    <n v="0.9"/>
    <n v="23"/>
    <n v="83"/>
    <n v="93"/>
    <n v="4767.0200000000004"/>
    <x v="2"/>
    <x v="0"/>
    <x v="2"/>
    <n v="1.77"/>
    <n v="832.21"/>
    <n v="5"/>
    <n v="24"/>
    <n v="846.82"/>
    <n v="3920.2000000000003"/>
    <n v="0.82235862236785195"/>
    <n v="524.75"/>
  </r>
  <r>
    <s v="SKU58"/>
    <x v="1"/>
    <x v="0"/>
    <x v="0"/>
    <x v="2"/>
    <n v="396"/>
    <n v="65.05"/>
    <n v="7"/>
    <n v="1.7299999999999999E-2"/>
    <x v="1"/>
    <n v="59.84"/>
    <n v="10"/>
    <n v="0.81"/>
    <n v="5"/>
    <n v="44"/>
    <n v="896"/>
    <n v="2021.15"/>
    <x v="0"/>
    <x v="0"/>
    <x v="1"/>
    <n v="4.9400000000000004"/>
    <n v="110.36"/>
    <n v="7"/>
    <n v="18"/>
    <n v="180.35"/>
    <n v="1840.8000000000002"/>
    <n v="0.91076862182420903"/>
    <n v="598.40000000000009"/>
  </r>
  <r>
    <s v="SKU59"/>
    <x v="2"/>
    <x v="0"/>
    <x v="2"/>
    <x v="1"/>
    <n v="176"/>
    <n v="1.9"/>
    <n v="4"/>
    <n v="4.4999999999999997E-3"/>
    <x v="1"/>
    <n v="63.83"/>
    <n v="100"/>
    <n v="0.3"/>
    <n v="16"/>
    <n v="26"/>
    <n v="484"/>
    <n v="1061.6199999999999"/>
    <x v="2"/>
    <x v="1"/>
    <x v="0"/>
    <n v="7.29"/>
    <n v="312.57"/>
    <n v="7"/>
    <n v="11"/>
    <n v="321.76"/>
    <n v="739.8599999999999"/>
    <n v="0.69691603398579505"/>
    <n v="6383"/>
  </r>
  <r>
    <s v="SKU60"/>
    <x v="1"/>
    <x v="1"/>
    <x v="3"/>
    <x v="0"/>
    <n v="929"/>
    <n v="87.21"/>
    <n v="24"/>
    <n v="2.8500000000000001E-2"/>
    <x v="1"/>
    <n v="17.03"/>
    <n v="41"/>
    <n v="0.16"/>
    <n v="27"/>
    <n v="72"/>
    <n v="380"/>
    <n v="8864.08"/>
    <x v="1"/>
    <x v="1"/>
    <x v="2"/>
    <n v="4.38"/>
    <n v="430.17"/>
    <n v="8"/>
    <n v="29"/>
    <n v="521.76"/>
    <n v="8342.32"/>
    <n v="0.94113771536358004"/>
    <n v="698.23"/>
  </r>
  <r>
    <s v="SKU63"/>
    <x v="1"/>
    <x v="0"/>
    <x v="0"/>
    <x v="3"/>
    <n v="736"/>
    <n v="20.079999999999998"/>
    <n v="10"/>
    <n v="3.6299999999999999E-2"/>
    <x v="0"/>
    <n v="13.02"/>
    <n v="54"/>
    <n v="0.55000000000000004"/>
    <n v="19"/>
    <n v="10"/>
    <n v="246"/>
    <n v="4256.95"/>
    <x v="3"/>
    <x v="1"/>
    <x v="1"/>
    <n v="2.46"/>
    <n v="687.29"/>
    <n v="4"/>
    <n v="18"/>
    <n v="709.82999999999993"/>
    <n v="3547.12"/>
    <n v="0.83325385545989505"/>
    <n v="703.07999999999993"/>
  </r>
  <r>
    <s v="SKU64"/>
    <x v="1"/>
    <x v="1"/>
    <x v="2"/>
    <x v="2"/>
    <n v="328"/>
    <n v="8.69"/>
    <n v="6"/>
    <n v="1.6000000000000001E-3"/>
    <x v="1"/>
    <n v="89.63"/>
    <n v="73"/>
    <n v="0.11"/>
    <n v="27"/>
    <n v="75"/>
    <n v="134"/>
    <n v="8458.73"/>
    <x v="2"/>
    <x v="2"/>
    <x v="2"/>
    <n v="4.59"/>
    <n v="771.23"/>
    <n v="6"/>
    <n v="17"/>
    <n v="784.51"/>
    <n v="7674.2199999999993"/>
    <n v="0.90725439870997204"/>
    <n v="6542.99"/>
  </r>
  <r>
    <s v="SKU65"/>
    <x v="1"/>
    <x v="2"/>
    <x v="1"/>
    <x v="1"/>
    <n v="358"/>
    <n v="1.6"/>
    <n v="21"/>
    <n v="4.9099999999999998E-2"/>
    <x v="1"/>
    <n v="33.700000000000003"/>
    <n v="57"/>
    <n v="0.72"/>
    <n v="24"/>
    <n v="54"/>
    <n v="457"/>
    <n v="8354.58"/>
    <x v="1"/>
    <x v="2"/>
    <x v="2"/>
    <n v="6.58"/>
    <n v="555.86"/>
    <n v="8"/>
    <n v="16"/>
    <n v="564.04"/>
    <n v="7790.54"/>
    <n v="0.93248733030265996"/>
    <n v="1920.9"/>
  </r>
  <r>
    <s v="SKU66"/>
    <x v="1"/>
    <x v="1"/>
    <x v="1"/>
    <x v="1"/>
    <n v="867"/>
    <n v="42.08"/>
    <n v="28"/>
    <n v="3.4500000000000003E-2"/>
    <x v="1"/>
    <n v="26.03"/>
    <n v="13"/>
    <n v="0.52"/>
    <n v="17"/>
    <n v="19"/>
    <n v="704"/>
    <n v="8367.7199999999993"/>
    <x v="0"/>
    <x v="1"/>
    <x v="1"/>
    <n v="2.2200000000000002"/>
    <n v="393.84"/>
    <n v="8"/>
    <n v="24"/>
    <n v="438.14"/>
    <n v="7929.579999999999"/>
    <n v="0.94763926135195697"/>
    <n v="338.39"/>
  </r>
  <r>
    <s v="SKU68"/>
    <x v="0"/>
    <x v="0"/>
    <x v="4"/>
    <x v="3"/>
    <n v="375"/>
    <n v="97.11"/>
    <n v="18"/>
    <n v="1.9800000000000002E-2"/>
    <x v="1"/>
    <n v="37.93"/>
    <n v="0"/>
    <n v="0.28999999999999998"/>
    <n v="8"/>
    <n v="58"/>
    <n v="163"/>
    <n v="3550.22"/>
    <x v="1"/>
    <x v="1"/>
    <x v="0"/>
    <n v="1.19"/>
    <n v="299.70999999999998"/>
    <n v="8"/>
    <n v="2"/>
    <n v="398.01"/>
    <n v="3152.21"/>
    <n v="0.88789145461408003"/>
    <n v="0"/>
  </r>
  <r>
    <s v="SKU69"/>
    <x v="1"/>
    <x v="0"/>
    <x v="3"/>
    <x v="1"/>
    <n v="862"/>
    <n v="77.63"/>
    <n v="7"/>
    <n v="1.3599999999999999E-2"/>
    <x v="0"/>
    <n v="54.87"/>
    <n v="95"/>
    <n v="0.62"/>
    <n v="1"/>
    <n v="27"/>
    <n v="511"/>
    <n v="1752.38"/>
    <x v="2"/>
    <x v="1"/>
    <x v="0"/>
    <n v="9.7100000000000009"/>
    <n v="207.66"/>
    <n v="3"/>
    <n v="9"/>
    <n v="295"/>
    <n v="1457.38"/>
    <n v="0.831657517205172"/>
    <n v="5212.6499999999996"/>
  </r>
  <r>
    <s v="SKU70"/>
    <x v="0"/>
    <x v="1"/>
    <x v="2"/>
    <x v="3"/>
    <n v="775"/>
    <n v="11.44"/>
    <n v="16"/>
    <n v="1.83E-2"/>
    <x v="2"/>
    <n v="47.91"/>
    <n v="10"/>
    <n v="0.9"/>
    <n v="12"/>
    <n v="22"/>
    <n v="32"/>
    <n v="7014.89"/>
    <x v="0"/>
    <x v="2"/>
    <x v="0"/>
    <n v="6.32"/>
    <n v="183.27"/>
    <n v="4"/>
    <n v="22"/>
    <n v="201.03"/>
    <n v="6813.8600000000006"/>
    <n v="0.97134238740735801"/>
    <n v="479.09999999999997"/>
  </r>
  <r>
    <s v="SKU71"/>
    <x v="2"/>
    <x v="1"/>
    <x v="4"/>
    <x v="3"/>
    <n v="258"/>
    <n v="30.66"/>
    <n v="10"/>
    <n v="2.0799999999999999E-2"/>
    <x v="0"/>
    <n v="6.38"/>
    <n v="76"/>
    <n v="0.14000000000000001"/>
    <n v="2"/>
    <n v="26"/>
    <n v="637"/>
    <n v="8180.34"/>
    <x v="0"/>
    <x v="1"/>
    <x v="1"/>
    <n v="9.23"/>
    <n v="405.17"/>
    <n v="6"/>
    <n v="2"/>
    <n v="445.06"/>
    <n v="7735.28"/>
    <n v="0.94559394841779199"/>
    <n v="484.88"/>
  </r>
  <r>
    <s v="SKU72"/>
    <x v="2"/>
    <x v="0"/>
    <x v="2"/>
    <x v="3"/>
    <n v="152"/>
    <n v="55.76"/>
    <n v="11"/>
    <n v="3.2099999999999997E-2"/>
    <x v="0"/>
    <n v="90.2"/>
    <n v="57"/>
    <n v="0.88"/>
    <n v="29"/>
    <n v="77"/>
    <n v="478"/>
    <n v="2633.12"/>
    <x v="1"/>
    <x v="0"/>
    <x v="1"/>
    <n v="6.6"/>
    <n v="677.94"/>
    <n v="9"/>
    <n v="21"/>
    <n v="740.30000000000007"/>
    <n v="1892.8199999999997"/>
    <n v="0.71885064106459196"/>
    <n v="5141.4000000000005"/>
  </r>
  <r>
    <s v="SKU73"/>
    <x v="2"/>
    <x v="2"/>
    <x v="3"/>
    <x v="4"/>
    <n v="444"/>
    <n v="46.87"/>
    <n v="4"/>
    <n v="4.6199999999999998E-2"/>
    <x v="1"/>
    <n v="83.85"/>
    <n v="17"/>
    <n v="0.41"/>
    <n v="25"/>
    <n v="66"/>
    <n v="375"/>
    <n v="7910.89"/>
    <x v="0"/>
    <x v="1"/>
    <x v="0"/>
    <n v="1.51"/>
    <n v="866.47"/>
    <n v="5"/>
    <n v="13"/>
    <n v="914.85"/>
    <n v="6996.04"/>
    <n v="0.88435561611904601"/>
    <n v="1425.4499999999998"/>
  </r>
  <r>
    <s v="SKU74"/>
    <x v="0"/>
    <x v="1"/>
    <x v="3"/>
    <x v="2"/>
    <n v="919"/>
    <n v="80.58"/>
    <n v="9"/>
    <n v="4.0000000000000001E-3"/>
    <x v="1"/>
    <n v="3.17"/>
    <n v="41"/>
    <n v="0.64"/>
    <n v="6"/>
    <n v="1"/>
    <n v="904"/>
    <n v="5709.95"/>
    <x v="1"/>
    <x v="1"/>
    <x v="1"/>
    <n v="5.24"/>
    <n v="341.55"/>
    <n v="5"/>
    <n v="1"/>
    <n v="427.37"/>
    <n v="5282.58"/>
    <n v="0.925153460187918"/>
    <n v="129.97"/>
  </r>
  <r>
    <s v="SKU75"/>
    <x v="1"/>
    <x v="0"/>
    <x v="2"/>
    <x v="4"/>
    <n v="759"/>
    <n v="48.06"/>
    <n v="11"/>
    <n v="2.0299999999999999E-2"/>
    <x v="2"/>
    <n v="93"/>
    <n v="16"/>
    <n v="0.28999999999999998"/>
    <n v="20"/>
    <n v="56"/>
    <n v="106"/>
    <n v="1889.07"/>
    <x v="2"/>
    <x v="2"/>
    <x v="2"/>
    <n v="2.4700000000000002"/>
    <n v="873.13"/>
    <n v="10"/>
    <n v="25"/>
    <n v="923.66"/>
    <n v="965.41"/>
    <n v="0.51105041104882298"/>
    <n v="1488"/>
  </r>
  <r>
    <s v="SKU76"/>
    <x v="0"/>
    <x v="2"/>
    <x v="4"/>
    <x v="3"/>
    <n v="985"/>
    <n v="64.319999999999993"/>
    <n v="24"/>
    <n v="2.18E-2"/>
    <x v="0"/>
    <n v="69.11"/>
    <n v="38"/>
    <n v="0.23"/>
    <n v="1"/>
    <n v="22"/>
    <n v="241"/>
    <n v="5328.38"/>
    <x v="1"/>
    <x v="1"/>
    <x v="1"/>
    <n v="7.05"/>
    <n v="997.41"/>
    <n v="10"/>
    <n v="25"/>
    <n v="1068.78"/>
    <n v="4259.6000000000004"/>
    <n v="0.79941745896501404"/>
    <n v="2626.18"/>
  </r>
  <r>
    <s v="SKU79"/>
    <x v="0"/>
    <x v="0"/>
    <x v="0"/>
    <x v="3"/>
    <n v="228"/>
    <n v="57.87"/>
    <n v="12"/>
    <n v="1.6999999999999999E-3"/>
    <x v="0"/>
    <n v="57.06"/>
    <n v="31"/>
    <n v="0.56000000000000005"/>
    <n v="25"/>
    <n v="20"/>
    <n v="198"/>
    <n v="7888.72"/>
    <x v="2"/>
    <x v="2"/>
    <x v="0"/>
    <n v="6.5"/>
    <n v="351.5"/>
    <n v="1"/>
    <n v="5"/>
    <n v="415.87"/>
    <n v="7472.85"/>
    <n v="0.947282955916803"/>
    <n v="1768.8600000000001"/>
  </r>
  <r>
    <s v="SKU85"/>
    <x v="2"/>
    <x v="1"/>
    <x v="1"/>
    <x v="4"/>
    <n v="211"/>
    <n v="69.930000000000007"/>
    <n v="2"/>
    <n v="1.37E-2"/>
    <x v="1"/>
    <n v="76.959999999999994"/>
    <n v="15"/>
    <n v="0.83"/>
    <n v="18"/>
    <n v="66"/>
    <n v="25"/>
    <n v="8684.61"/>
    <x v="0"/>
    <x v="0"/>
    <x v="2"/>
    <n v="8.25"/>
    <n v="842.69"/>
    <n v="2"/>
    <n v="4"/>
    <n v="920.87000000000012"/>
    <n v="7763.7400000000007"/>
    <n v="0.89396530183853995"/>
    <n v="1154.3999999999999"/>
  </r>
  <r>
    <s v="SKU87"/>
    <x v="0"/>
    <x v="2"/>
    <x v="0"/>
    <x v="4"/>
    <n v="523"/>
    <n v="28.7"/>
    <n v="17"/>
    <n v="3.6900000000000002E-2"/>
    <x v="1"/>
    <n v="80.41"/>
    <n v="5"/>
    <n v="0.24"/>
    <n v="7"/>
    <n v="55"/>
    <n v="79"/>
    <n v="5133.8500000000004"/>
    <x v="3"/>
    <x v="0"/>
    <x v="1"/>
    <n v="6.58"/>
    <n v="879.36"/>
    <n v="10"/>
    <n v="27"/>
    <n v="914.64"/>
    <n v="4219.21"/>
    <n v="0.82184130818002099"/>
    <n v="402.04999999999995"/>
  </r>
  <r>
    <s v="SKU88"/>
    <x v="2"/>
    <x v="2"/>
    <x v="4"/>
    <x v="0"/>
    <n v="953"/>
    <n v="68.180000000000007"/>
    <n v="11"/>
    <n v="7.1999999999999998E-3"/>
    <x v="0"/>
    <n v="75.27"/>
    <n v="60"/>
    <n v="0.57999999999999996"/>
    <n v="18"/>
    <n v="85"/>
    <n v="737"/>
    <n v="9444.74"/>
    <x v="3"/>
    <x v="1"/>
    <x v="1"/>
    <n v="3.8"/>
    <n v="103.92"/>
    <n v="7"/>
    <n v="21"/>
    <n v="175.9"/>
    <n v="9268.84"/>
    <n v="0.98137587694314499"/>
    <n v="4516.2"/>
  </r>
  <r>
    <s v="SKU90"/>
    <x v="1"/>
    <x v="0"/>
    <x v="0"/>
    <x v="3"/>
    <n v="585"/>
    <n v="85.68"/>
    <n v="8"/>
    <n v="1.2200000000000001E-2"/>
    <x v="2"/>
    <n v="13.88"/>
    <n v="66"/>
    <n v="0.56000000000000005"/>
    <n v="18"/>
    <n v="96"/>
    <n v="320"/>
    <n v="9592.6299999999992"/>
    <x v="1"/>
    <x v="0"/>
    <x v="0"/>
    <n v="7.67"/>
    <n v="990.08"/>
    <n v="7"/>
    <n v="8"/>
    <n v="1083.43"/>
    <n v="8509.1999999999989"/>
    <n v="0.88705600028355103"/>
    <n v="916.08"/>
  </r>
  <r>
    <s v="SKU91"/>
    <x v="2"/>
    <x v="2"/>
    <x v="3"/>
    <x v="2"/>
    <n v="207"/>
    <n v="39.770000000000003"/>
    <n v="28"/>
    <n v="6.3E-3"/>
    <x v="0"/>
    <n v="62.11"/>
    <n v="98"/>
    <n v="0.9"/>
    <n v="22"/>
    <n v="85"/>
    <n v="916"/>
    <n v="1935.21"/>
    <x v="1"/>
    <x v="0"/>
    <x v="0"/>
    <n v="7.47"/>
    <n v="996.78"/>
    <n v="7"/>
    <n v="5"/>
    <n v="1044.02"/>
    <n v="891.19"/>
    <n v="0.46051332930276301"/>
    <n v="6086.78"/>
  </r>
  <r>
    <s v="SKU92"/>
    <x v="2"/>
    <x v="2"/>
    <x v="4"/>
    <x v="0"/>
    <n v="671"/>
    <n v="62.61"/>
    <n v="29"/>
    <n v="3.3E-3"/>
    <x v="2"/>
    <n v="47.71"/>
    <n v="90"/>
    <n v="0.44"/>
    <n v="25"/>
    <n v="10"/>
    <n v="276"/>
    <n v="2100.13"/>
    <x v="1"/>
    <x v="0"/>
    <x v="0"/>
    <n v="4.47"/>
    <n v="230.09"/>
    <n v="8"/>
    <n v="4"/>
    <n v="297.17"/>
    <n v="1802.96"/>
    <n v="0.85849923576159604"/>
    <n v="4293.8999999999996"/>
  </r>
  <r>
    <s v="SKU96"/>
    <x v="2"/>
    <x v="0"/>
    <x v="0"/>
    <x v="0"/>
    <n v="648"/>
    <n v="17.8"/>
    <n v="28"/>
    <n v="3.8699999999999998E-2"/>
    <x v="0"/>
    <n v="24.42"/>
    <n v="67"/>
    <n v="0.28999999999999998"/>
    <n v="2"/>
    <n v="32"/>
    <n v="324"/>
    <n v="7698.42"/>
    <x v="0"/>
    <x v="1"/>
    <x v="2"/>
    <n v="5.35"/>
    <n v="188.74"/>
    <n v="3"/>
    <n v="28"/>
    <n v="211.89000000000001"/>
    <n v="7486.53"/>
    <n v="0.97247617043497203"/>
    <n v="1636.14"/>
  </r>
  <r>
    <s v="SKU97"/>
    <x v="0"/>
    <x v="2"/>
    <x v="3"/>
    <x v="0"/>
    <n v="535"/>
    <n v="65.77"/>
    <n v="13"/>
    <n v="3.3799999999999997E-2"/>
    <x v="1"/>
    <n v="3.53"/>
    <n v="46"/>
    <n v="0.56000000000000005"/>
    <n v="19"/>
    <n v="4"/>
    <n v="62"/>
    <n v="4370.92"/>
    <x v="0"/>
    <x v="1"/>
    <x v="1"/>
    <n v="7.9"/>
    <n v="540.13"/>
    <n v="9"/>
    <n v="10"/>
    <n v="613.79999999999995"/>
    <n v="3757.12"/>
    <n v="0.859571897907077"/>
    <n v="162.38"/>
  </r>
  <r>
    <s v="SKU98"/>
    <x v="1"/>
    <x v="1"/>
    <x v="1"/>
    <x v="4"/>
    <n v="581"/>
    <n v="5.6"/>
    <n v="9"/>
    <n v="2.9100000000000001E-2"/>
    <x v="0"/>
    <n v="19.75"/>
    <n v="53"/>
    <n v="0.43"/>
    <n v="1"/>
    <n v="27"/>
    <n v="913"/>
    <n v="8525.9500000000007"/>
    <x v="1"/>
    <x v="1"/>
    <x v="0"/>
    <n v="1.41"/>
    <n v="882.2"/>
    <n v="7"/>
    <n v="28"/>
    <n v="889.21"/>
    <n v="7636.7400000000007"/>
    <n v="0.89570546390724803"/>
    <n v="1046.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85547-B80A-4879-84C5-2C1FE5B929A1}" name="PivotTable1" cacheId="0" applyNumberFormats="0" applyBorderFormats="0" applyFontFormats="0" applyPatternFormats="0" applyAlignmentFormats="0" applyWidthHeightFormats="1" dataCaption="Giá trị" grandTotalCaption="Total" updatedVersion="8" minRefreshableVersion="3" useAutoFormatting="1" itemPrintTitles="1" createdVersion="8" indent="0" outline="1" outlineData="1" multipleFieldFilters="0" chartFormat="5" rowHeaderCaption="Product type">
  <location ref="A9:C13" firstHeaderRow="0" firstDataRow="1" firstDataCol="1"/>
  <pivotFields count="29">
    <pivotField showAll="0"/>
    <pivotField axis="axisRow" showAll="0" sortType="descending">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Revenue generated" fld="16" baseField="0" baseItem="0" numFmtId="164"/>
    <dataField name="Sum of Net profit" fld="25" baseField="0" baseItem="0" numFmtId="164"/>
  </dataFields>
  <formats count="6">
    <format dxfId="49">
      <pivotArea outline="0" collapsedLevelsAreSubtotals="1" fieldPosition="0"/>
    </format>
    <format dxfId="48">
      <pivotArea dataOnly="0" labelOnly="1" outline="0" axis="axisValues" fieldPosition="0"/>
    </format>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outline="0" collapsedLevelsAreSubtotals="1" fieldPosition="0">
        <references count="1">
          <reference field="4294967294" count="1" selected="0">
            <x v="1"/>
          </reference>
        </references>
      </pivotArea>
    </format>
    <format dxfId="44">
      <pivotArea dataOnly="0" labelOnly="1"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91D64-A3FD-4824-8E3A-D3D711BDF7BD}" name="PivotTable1" cacheId="0" applyNumberFormats="0" applyBorderFormats="0" applyFontFormats="0" applyPatternFormats="0" applyAlignmentFormats="0" applyWidthHeightFormats="1" dataCaption="Giá trị" grandTotalCaption="Total" updatedVersion="8" minRefreshableVersion="3" useAutoFormatting="1" itemPrintTitles="1" createdVersion="8" indent="0" outline="1" outlineData="1" multipleFieldFilters="0" chartFormat="10" rowHeaderCaption="Product type">
  <location ref="A3:B7" firstHeaderRow="1" firstDataRow="1" firstDataCol="1"/>
  <pivotFields count="29">
    <pivotField showAll="0"/>
    <pivotField axis="axisRow" showAll="0" sortType="descending">
      <items count="4">
        <item x="1"/>
        <item x="0"/>
        <item x="2"/>
        <item t="default"/>
      </items>
    </pivotField>
    <pivotField showAll="0">
      <items count="4">
        <item x="1"/>
        <item x="2"/>
        <item x="0"/>
        <item t="default"/>
      </items>
    </pivotField>
    <pivotField showAll="0"/>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1"/>
  </rowFields>
  <rowItems count="4">
    <i>
      <x/>
    </i>
    <i>
      <x v="1"/>
    </i>
    <i>
      <x v="2"/>
    </i>
    <i t="grand">
      <x/>
    </i>
  </rowItems>
  <colItems count="1">
    <i/>
  </colItems>
  <dataFields count="1">
    <dataField name="Average of Profit Margin" fld="26" subtotal="average" baseField="1" baseItem="0" numFmtId="10"/>
  </dataFields>
  <formats count="2">
    <format dxfId="43">
      <pivotArea outline="0" collapsedLevelsAreSubtotals="1" fieldPosition="0"/>
    </format>
    <format dxfId="42">
      <pivotArea dataOnly="0" labelOnly="1" outline="0" axis="axisValues" fieldPosition="0"/>
    </format>
  </formats>
  <chartFormats count="4">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A1F8A-1B8B-4241-A6AC-CDC80B55B08E}" name="PivotTable3" cacheId="0" applyNumberFormats="0" applyBorderFormats="0" applyFontFormats="0" applyPatternFormats="0" applyAlignmentFormats="0" applyWidthHeightFormats="1" dataCaption="Giá trị" grandTotalCaption="Total" updatedVersion="8" minRefreshableVersion="3" useAutoFormatting="1" itemPrintTitles="1" createdVersion="8" indent="0" outline="1" outlineData="1" multipleFieldFilters="0" chartFormat="10" rowHeaderCaption="Product type">
  <location ref="A4:C10" firstHeaderRow="0" firstDataRow="1" firstDataCol="1"/>
  <pivotFields count="29">
    <pivotField showAll="0"/>
    <pivotField showAll="0" sortType="descending">
      <items count="4">
        <item x="1"/>
        <item x="0"/>
        <item x="2"/>
        <item t="default"/>
      </items>
    </pivotField>
    <pivotField showAll="0">
      <items count="4">
        <item x="1"/>
        <item x="2"/>
        <item x="0"/>
        <item t="default"/>
      </items>
    </pivotField>
    <pivotField axis="axisRow" showAll="0">
      <items count="6">
        <item x="2"/>
        <item x="4"/>
        <item x="0"/>
        <item x="3"/>
        <item x="1"/>
        <item t="default"/>
      </items>
    </pivotField>
    <pivotField showAll="0">
      <items count="6">
        <item x="3"/>
        <item x="4"/>
        <item x="2"/>
        <item x="1"/>
        <item x="0"/>
        <item t="default"/>
      </items>
    </pivotField>
    <pivotField showAll="0"/>
    <pivotField dataField="1"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6">
    <i>
      <x/>
    </i>
    <i>
      <x v="1"/>
    </i>
    <i>
      <x v="2"/>
    </i>
    <i>
      <x v="3"/>
    </i>
    <i>
      <x v="4"/>
    </i>
    <i t="grand">
      <x/>
    </i>
  </rowItems>
  <colFields count="1">
    <field x="-2"/>
  </colFields>
  <colItems count="2">
    <i>
      <x/>
    </i>
    <i i="1">
      <x v="1"/>
    </i>
  </colItems>
  <dataFields count="2">
    <dataField name="Sum of Manufacturing costs" fld="6" baseField="0" baseItem="0" numFmtId="3"/>
    <dataField name="Average of Defect rates" fld="8" subtotal="average" baseField="3" baseItem="0" numFmtId="10"/>
  </dataFields>
  <formats count="6">
    <format dxfId="41">
      <pivotArea field="3" type="button" dataOnly="0" labelOnly="1" outline="0" axis="axisRow" fieldPosition="0"/>
    </format>
    <format dxfId="40">
      <pivotArea collapsedLevelsAreSubtotals="1" fieldPosition="0">
        <references count="1">
          <reference field="3" count="0"/>
        </references>
      </pivotArea>
    </format>
    <format dxfId="39">
      <pivotArea outline="0" collapsedLevelsAreSubtotals="1" fieldPosition="0"/>
    </format>
    <format dxfId="38">
      <pivotArea dataOnly="0" labelOnly="1" outline="0" axis="axisValues" fieldPosition="0"/>
    </format>
    <format dxfId="37">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D949A8-A00B-4429-BE2E-7BC340461F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9">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items count="4">
        <item x="1"/>
        <item x="0"/>
        <item x="2"/>
        <item t="default"/>
      </items>
    </pivotField>
    <pivotField dataField="1" showAll="0"/>
    <pivotField showAll="0"/>
    <pivotField dataField="1" showAll="0"/>
    <pivotField showAll="0"/>
    <pivotField showAll="0"/>
    <pivotField showAll="0"/>
    <pivotField showAll="0"/>
    <pivotField showAll="0"/>
    <pivotField dragToRow="0" dragToCol="0" dragToPage="0" showAll="0" defaultSubtotal="0"/>
  </pivotFields>
  <rowFields count="1">
    <field x="17"/>
  </rowFields>
  <rowItems count="5">
    <i>
      <x/>
    </i>
    <i>
      <x v="1"/>
    </i>
    <i>
      <x v="2"/>
    </i>
    <i>
      <x v="3"/>
    </i>
    <i t="grand">
      <x/>
    </i>
  </rowItems>
  <colFields count="1">
    <field x="-2"/>
  </colFields>
  <colItems count="2">
    <i>
      <x/>
    </i>
    <i i="1">
      <x v="1"/>
    </i>
  </colItems>
  <dataFields count="2">
    <dataField name="Sum of Shipping costs" fld="20" baseField="0" baseItem="0"/>
    <dataField name="Average of Shipping times" fld="22" subtotal="average" baseField="17" baseItem="0" numFmtId="165"/>
  </dataFields>
  <formats count="2">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DAE804-CC72-47E7-AEC3-FE79B419A5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3:B7" firstHeaderRow="1" firstDataRow="1" firstDataCol="1"/>
  <pivotFields count="29">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4">
    <i>
      <x/>
    </i>
    <i>
      <x v="1"/>
    </i>
    <i>
      <x v="2"/>
    </i>
    <i t="grand">
      <x/>
    </i>
  </rowItems>
  <colItems count="1">
    <i/>
  </colItems>
  <dataFields count="1">
    <dataField name="Average of Cost to Revenue Ratio" fld="28" subtotal="average" baseField="1" baseItem="0"/>
  </dataFields>
  <formats count="2">
    <format dxfId="33">
      <pivotArea outline="0" collapsedLevelsAreSubtotals="1" fieldPosition="0"/>
    </format>
    <format dxfId="3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ữ_liệu_Bên_ngoài_1" connectionId="1" xr16:uid="{BC508A87-1D0B-439A-B4FA-227FD9AF10D9}" autoFormatId="16" applyNumberFormats="0" applyBorderFormats="0" applyFontFormats="0" applyPatternFormats="0" applyAlignmentFormats="0" applyWidthHeightFormats="0">
  <queryTableRefresh nextId="29">
    <queryTableFields count="28">
      <queryTableField id="1" name="SKU" tableColumnId="1"/>
      <queryTableField id="2" name="Product type" tableColumnId="2"/>
      <queryTableField id="3" name="Customer demographics" tableColumnId="3"/>
      <queryTableField id="4" name="Supplier name" tableColumnId="4"/>
      <queryTableField id="5" name="Location" tableColumnId="5"/>
      <queryTableField id="6" name="Production volumes" tableColumnId="6"/>
      <queryTableField id="7" name="Manufacturing costs" tableColumnId="7"/>
      <queryTableField id="8" name="Manufacturing lead time" tableColumnId="8"/>
      <queryTableField id="9" name="Defect rates" tableColumnId="9"/>
      <queryTableField id="10" name="Inspection results" tableColumnId="10"/>
      <queryTableField id="11" name="Price" tableColumnId="11"/>
      <queryTableField id="12" name="Stock levels" tableColumnId="12"/>
      <queryTableField id="13" name="Availability" tableColumnId="13"/>
      <queryTableField id="14" name="Supplier Lead times (days)" tableColumnId="14"/>
      <queryTableField id="15" name="Order quantities" tableColumnId="15"/>
      <queryTableField id="16" name="Number of products sold" tableColumnId="16"/>
      <queryTableField id="17" name="Revenue generated" tableColumnId="17"/>
      <queryTableField id="18" name="Transportation modes" tableColumnId="18"/>
      <queryTableField id="19" name="Routes" tableColumnId="19"/>
      <queryTableField id="20" name="Shipping carriers" tableColumnId="20"/>
      <queryTableField id="21" name="Shipping costs" tableColumnId="21"/>
      <queryTableField id="22" name="Costs" tableColumnId="22"/>
      <queryTableField id="23" name="Shipping times" tableColumnId="23"/>
      <queryTableField id="24" name="Delivery Lead time (days)" tableColumnId="24"/>
      <queryTableField id="25" name="Total Operation Cost" tableColumnId="25"/>
      <queryTableField id="26" name="Net profit" tableColumnId="26"/>
      <queryTableField id="27" name="Profit Margin" tableColumnId="27"/>
      <queryTableField id="28" name="Inventory Value"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82E24CE1-C5D7-4900-9CE9-E945B133A71C}" sourceName="Product type">
  <pivotTables>
    <pivotTable tabId="10" name="PivotTable3"/>
    <pivotTable tabId="13" name="PivotTable6"/>
  </pivotTables>
  <data>
    <tabular pivotCacheId="19734260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A1056C7C-36B3-4B89-A10A-AF50220F95B5}" sourceName="Transportation modes">
  <pivotTables>
    <pivotTable tabId="9" name="PivotTable1"/>
    <pivotTable tabId="8" name="PivotTable1"/>
  </pivotTables>
  <data>
    <tabular pivotCacheId="197342602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792583E9-D135-469B-919E-09984154FC2B}" cache="Slicer_Product_type" caption="Product type" rowHeight="254906"/>
  <slicer name="Transportation modes" xr10:uid="{DAA288C1-48DD-477B-AF9B-D3D68121AAD4}" cache="Slicer_Transportation_modes" caption="Transportation modes" rowHeight="25490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94E5F-1BAE-4627-B496-4AE1A45170C5}" name="supply_chain_data" displayName="supply_chain_data" ref="A1:AB70" tableType="queryTable" totalsRowShown="0" headerRowDxfId="31" headerRowBorderDxfId="30" tableBorderDxfId="29" totalsRowBorderDxfId="28">
  <autoFilter ref="A1:AB70" xr:uid="{09D94E5F-1BAE-4627-B496-4AE1A45170C5}"/>
  <tableColumns count="28">
    <tableColumn id="1" xr3:uid="{F13B54D6-1534-4DBB-B6EA-E79C3D1044B7}" uniqueName="1" name="SKU" queryTableFieldId="1" dataDxfId="27"/>
    <tableColumn id="2" xr3:uid="{52DEC1C8-E732-44BF-B5C3-189DBC985F36}" uniqueName="2" name="Product type" queryTableFieldId="2" dataDxfId="26"/>
    <tableColumn id="3" xr3:uid="{A9907727-46D5-4DFA-8E6A-44EE29A0411E}" uniqueName="3" name="Customer demographics" queryTableFieldId="3" dataDxfId="25"/>
    <tableColumn id="4" xr3:uid="{573605F4-672C-42B9-B64D-C9423F131C82}" uniqueName="4" name="Supplier name" queryTableFieldId="4" dataDxfId="24"/>
    <tableColumn id="5" xr3:uid="{AA342127-083B-4200-9501-E6797EC5A798}" uniqueName="5" name="Location" queryTableFieldId="5" dataDxfId="23"/>
    <tableColumn id="6" xr3:uid="{C5B102FF-20F3-460B-9CCC-CA39E09B1AC9}" uniqueName="6" name="Production volumes" queryTableFieldId="6" dataDxfId="22"/>
    <tableColumn id="7" xr3:uid="{0F5D6C1B-5865-4C24-BC98-33972E2ED5DE}" uniqueName="7" name="Manufacturing costs" queryTableFieldId="7" dataDxfId="21"/>
    <tableColumn id="8" xr3:uid="{24EF83E3-1A5C-49B2-A4AD-7CC3EC54EFDB}" uniqueName="8" name="Manufacturing lead time" queryTableFieldId="8" dataDxfId="20"/>
    <tableColumn id="9" xr3:uid="{F6BDAC12-F343-4F0B-A182-4B6C0D82D6C2}" uniqueName="9" name="Defect rates" queryTableFieldId="9" dataDxfId="19"/>
    <tableColumn id="10" xr3:uid="{7AFDF9E2-CFC3-4FF4-B36C-E0360866AF2B}" uniqueName="10" name="Inspection results" queryTableFieldId="10" dataDxfId="18"/>
    <tableColumn id="11" xr3:uid="{270271D6-93B4-4B57-B564-77AA2B67B7A4}" uniqueName="11" name="Price" queryTableFieldId="11" dataDxfId="17"/>
    <tableColumn id="12" xr3:uid="{25319C71-3958-48A7-8D87-4F8CEC8DF088}" uniqueName="12" name="Stock levels" queryTableFieldId="12" dataDxfId="16"/>
    <tableColumn id="13" xr3:uid="{EE9581E5-EEBC-4549-8601-F3BA4D0E83D0}" uniqueName="13" name="Availability" queryTableFieldId="13" dataDxfId="15"/>
    <tableColumn id="14" xr3:uid="{E7E3EBAC-279A-4C5B-8E1E-B11818B2A9D7}" uniqueName="14" name="Supplier Lead times (days)" queryTableFieldId="14" dataDxfId="14"/>
    <tableColumn id="15" xr3:uid="{80E68487-73D6-4D7E-A140-CF2141C88164}" uniqueName="15" name="Order quantities" queryTableFieldId="15" dataDxfId="13"/>
    <tableColumn id="16" xr3:uid="{50648FDD-9C39-41D8-B078-EC258C0EB87B}" uniqueName="16" name="Number of products sold" queryTableFieldId="16" dataDxfId="12"/>
    <tableColumn id="17" xr3:uid="{069325EA-CC3F-4ABB-876C-38CF85B7B8C1}" uniqueName="17" name="Revenue generated" queryTableFieldId="17" dataDxfId="11"/>
    <tableColumn id="18" xr3:uid="{A74134D6-6BBD-45FB-84C1-ADE9A9654DD4}" uniqueName="18" name="Transportation modes" queryTableFieldId="18" dataDxfId="10"/>
    <tableColumn id="19" xr3:uid="{AAD7A251-420E-46DC-B1F2-905373AE1F31}" uniqueName="19" name="Routes" queryTableFieldId="19" dataDxfId="9"/>
    <tableColumn id="20" xr3:uid="{D0775E5D-190D-4A18-8D32-1F59AB9D352E}" uniqueName="20" name="Shipping carriers" queryTableFieldId="20" dataDxfId="8"/>
    <tableColumn id="21" xr3:uid="{F93C0997-C03C-4FF0-A729-A7AAE74C22E1}" uniqueName="21" name="Shipping costs" queryTableFieldId="21" dataDxfId="7"/>
    <tableColumn id="22" xr3:uid="{72C30A3B-0AAE-4FD6-AD25-50672DB48E01}" uniqueName="22" name="Costs" queryTableFieldId="22" dataDxfId="6"/>
    <tableColumn id="23" xr3:uid="{FBE636A2-522C-49A5-9C08-789B9928FF94}" uniqueName="23" name="Shipping times" queryTableFieldId="23" dataDxfId="5"/>
    <tableColumn id="24" xr3:uid="{C0E6AA63-FFDB-4E2E-A12A-7DAA3B2071C4}" uniqueName="24" name="Delivery Lead time (days)" queryTableFieldId="24" dataDxfId="4"/>
    <tableColumn id="25" xr3:uid="{BEB0EF8D-014E-4E83-A440-9D2ED1A86FC8}" uniqueName="25" name="Total Operation Cost" queryTableFieldId="25" dataDxfId="3"/>
    <tableColumn id="26" xr3:uid="{2B774FC0-639D-40FF-9FC1-679427C02FA9}" uniqueName="26" name="Net profit" queryTableFieldId="26" dataDxfId="2"/>
    <tableColumn id="27" xr3:uid="{514EA7E3-887B-4994-AB95-EB6D799C9DAB}" uniqueName="27" name="Profit Margin" queryTableFieldId="27" dataDxfId="1"/>
    <tableColumn id="28" xr3:uid="{EFB33323-E3B7-4221-9A10-791D60E4C209}" uniqueName="28" name="Inventory Value" queryTableFieldId="2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DD3C-2B49-4AE9-909A-18B0CA16D55F}">
  <dimension ref="A9:C13"/>
  <sheetViews>
    <sheetView workbookViewId="0">
      <selection activeCell="A9" sqref="A9:C13"/>
    </sheetView>
  </sheetViews>
  <sheetFormatPr defaultRowHeight="14.6" x14ac:dyDescent="0.4"/>
  <cols>
    <col min="1" max="1" width="13.61328125" bestFit="1" customWidth="1"/>
    <col min="2" max="2" width="23.23046875" bestFit="1" customWidth="1"/>
    <col min="3" max="3" width="14.921875" bestFit="1" customWidth="1"/>
    <col min="4" max="7" width="27.84375" bestFit="1" customWidth="1"/>
    <col min="8" max="8" width="26.15234375" bestFit="1" customWidth="1"/>
  </cols>
  <sheetData>
    <row r="9" spans="1:3" x14ac:dyDescent="0.4">
      <c r="A9" s="10" t="s">
        <v>1</v>
      </c>
      <c r="B9" s="15" t="s">
        <v>127</v>
      </c>
      <c r="C9" s="15" t="s">
        <v>128</v>
      </c>
    </row>
    <row r="10" spans="1:3" x14ac:dyDescent="0.4">
      <c r="A10" s="11" t="s">
        <v>34</v>
      </c>
      <c r="B10" s="15">
        <v>185043.79000000004</v>
      </c>
      <c r="C10" s="15">
        <v>166154.38999999998</v>
      </c>
    </row>
    <row r="11" spans="1:3" x14ac:dyDescent="0.4">
      <c r="A11" s="11" t="s">
        <v>25</v>
      </c>
      <c r="B11" s="15">
        <v>102295.94</v>
      </c>
      <c r="C11" s="15">
        <v>91045.47</v>
      </c>
    </row>
    <row r="12" spans="1:3" x14ac:dyDescent="0.4">
      <c r="A12" s="11" t="s">
        <v>55</v>
      </c>
      <c r="B12" s="15">
        <v>117174.99</v>
      </c>
      <c r="C12" s="15">
        <v>106391.83</v>
      </c>
    </row>
    <row r="13" spans="1:3" x14ac:dyDescent="0.4">
      <c r="A13" s="11" t="s">
        <v>126</v>
      </c>
      <c r="B13" s="15">
        <v>404514.72000000003</v>
      </c>
      <c r="C13" s="15">
        <v>363591.69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00BE-E841-4365-9761-F22146D27460}">
  <dimension ref="A3:B7"/>
  <sheetViews>
    <sheetView workbookViewId="0">
      <selection activeCell="P23" sqref="P23"/>
    </sheetView>
  </sheetViews>
  <sheetFormatPr defaultRowHeight="14.6" x14ac:dyDescent="0.4"/>
  <cols>
    <col min="1" max="1" width="13.61328125" bestFit="1" customWidth="1"/>
    <col min="2" max="2" width="20.61328125" bestFit="1" customWidth="1"/>
  </cols>
  <sheetData>
    <row r="3" spans="1:2" x14ac:dyDescent="0.4">
      <c r="A3" s="10" t="s">
        <v>1</v>
      </c>
      <c r="B3" s="12" t="s">
        <v>129</v>
      </c>
    </row>
    <row r="4" spans="1:2" x14ac:dyDescent="0.4">
      <c r="A4" s="11" t="s">
        <v>34</v>
      </c>
      <c r="B4" s="12">
        <v>0.85920611209180497</v>
      </c>
    </row>
    <row r="5" spans="1:2" x14ac:dyDescent="0.4">
      <c r="A5" s="11" t="s">
        <v>25</v>
      </c>
      <c r="B5" s="12">
        <v>0.86843197254619187</v>
      </c>
    </row>
    <row r="6" spans="1:2" x14ac:dyDescent="0.4">
      <c r="A6" s="11" t="s">
        <v>55</v>
      </c>
      <c r="B6" s="12">
        <v>0.86538620592274884</v>
      </c>
    </row>
    <row r="7" spans="1:2" x14ac:dyDescent="0.4">
      <c r="A7" s="11" t="s">
        <v>126</v>
      </c>
      <c r="B7" s="12">
        <v>0.86344833138776589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734C-26E7-41C5-83BD-230298BEA6A9}">
  <dimension ref="A4:C10"/>
  <sheetViews>
    <sheetView workbookViewId="0">
      <selection activeCell="S10" sqref="S10"/>
    </sheetView>
  </sheetViews>
  <sheetFormatPr defaultRowHeight="14.6" x14ac:dyDescent="0.4"/>
  <cols>
    <col min="1" max="1" width="13.61328125" bestFit="1" customWidth="1"/>
    <col min="2" max="2" width="24.23046875" bestFit="1" customWidth="1"/>
    <col min="3" max="3" width="20.07421875" bestFit="1" customWidth="1"/>
  </cols>
  <sheetData>
    <row r="4" spans="1:3" x14ac:dyDescent="0.4">
      <c r="A4" s="10" t="s">
        <v>1</v>
      </c>
      <c r="B4" t="s">
        <v>131</v>
      </c>
      <c r="C4" s="12" t="s">
        <v>130</v>
      </c>
    </row>
    <row r="5" spans="1:3" x14ac:dyDescent="0.4">
      <c r="A5" s="11" t="s">
        <v>45</v>
      </c>
      <c r="B5" s="14">
        <v>845.77000000000021</v>
      </c>
      <c r="C5" s="12">
        <v>1.6478947368421051E-2</v>
      </c>
    </row>
    <row r="6" spans="1:3" x14ac:dyDescent="0.4">
      <c r="A6" s="11" t="s">
        <v>61</v>
      </c>
      <c r="B6" s="14">
        <v>648.85</v>
      </c>
      <c r="C6" s="12">
        <v>2.3706666666666664E-2</v>
      </c>
    </row>
    <row r="7" spans="1:3" x14ac:dyDescent="0.4">
      <c r="A7" s="11" t="s">
        <v>27</v>
      </c>
      <c r="B7" s="14">
        <v>528.07999999999993</v>
      </c>
      <c r="C7" s="12">
        <v>2.47E-2</v>
      </c>
    </row>
    <row r="8" spans="1:3" x14ac:dyDescent="0.4">
      <c r="A8" s="11" t="s">
        <v>49</v>
      </c>
      <c r="B8" s="14">
        <v>790.73</v>
      </c>
      <c r="C8" s="12">
        <v>1.9958333333333331E-2</v>
      </c>
    </row>
    <row r="9" spans="1:3" x14ac:dyDescent="0.4">
      <c r="A9" s="11" t="s">
        <v>38</v>
      </c>
      <c r="B9" s="14">
        <v>489.58000000000004</v>
      </c>
      <c r="C9" s="12">
        <v>2.8736363636363636E-2</v>
      </c>
    </row>
    <row r="10" spans="1:3" x14ac:dyDescent="0.4">
      <c r="A10" s="11" t="s">
        <v>126</v>
      </c>
      <c r="B10" s="14">
        <v>3303.0099999999993</v>
      </c>
      <c r="C10" s="12">
        <v>2.203913043478261E-2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555F5-4919-4EFE-BC8F-CD5B3E33EE6E}">
  <dimension ref="A3:C8"/>
  <sheetViews>
    <sheetView workbookViewId="0">
      <selection activeCell="M8" sqref="M8"/>
    </sheetView>
  </sheetViews>
  <sheetFormatPr defaultRowHeight="14.6" x14ac:dyDescent="0.4"/>
  <cols>
    <col min="1" max="1" width="12.4609375" bestFit="1" customWidth="1"/>
    <col min="2" max="2" width="19.3828125" bestFit="1" customWidth="1"/>
    <col min="3" max="3" width="22.53515625" bestFit="1" customWidth="1"/>
  </cols>
  <sheetData>
    <row r="3" spans="1:3" x14ac:dyDescent="0.4">
      <c r="A3" s="10" t="s">
        <v>132</v>
      </c>
      <c r="B3" t="s">
        <v>134</v>
      </c>
      <c r="C3" s="13" t="s">
        <v>135</v>
      </c>
    </row>
    <row r="4" spans="1:3" x14ac:dyDescent="0.4">
      <c r="A4" s="11" t="s">
        <v>47</v>
      </c>
      <c r="B4">
        <v>96.75</v>
      </c>
      <c r="C4" s="13">
        <v>4.6111111111111107</v>
      </c>
    </row>
    <row r="5" spans="1:3" x14ac:dyDescent="0.4">
      <c r="A5" s="11" t="s">
        <v>41</v>
      </c>
      <c r="B5">
        <v>98.109999999999985</v>
      </c>
      <c r="C5" s="13">
        <v>6.9444444444444446</v>
      </c>
    </row>
    <row r="6" spans="1:3" x14ac:dyDescent="0.4">
      <c r="A6" s="11" t="s">
        <v>30</v>
      </c>
      <c r="B6">
        <v>130.6</v>
      </c>
      <c r="C6" s="13">
        <v>4.8181818181818183</v>
      </c>
    </row>
    <row r="7" spans="1:3" x14ac:dyDescent="0.4">
      <c r="A7" s="11" t="s">
        <v>53</v>
      </c>
      <c r="B7">
        <v>44.999999999999993</v>
      </c>
      <c r="C7" s="13">
        <v>7.4545454545454541</v>
      </c>
    </row>
    <row r="8" spans="1:3" x14ac:dyDescent="0.4">
      <c r="A8" s="11" t="s">
        <v>133</v>
      </c>
      <c r="B8">
        <v>370.45999999999987</v>
      </c>
      <c r="C8" s="13">
        <v>5.7391304347826084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D8BB-B055-4621-B203-5821D25DCC4E}">
  <dimension ref="A3:B7"/>
  <sheetViews>
    <sheetView workbookViewId="0">
      <selection activeCell="D33" sqref="D33"/>
    </sheetView>
  </sheetViews>
  <sheetFormatPr defaultRowHeight="14.6" x14ac:dyDescent="0.4"/>
  <cols>
    <col min="1" max="1" width="10.53515625" bestFit="1" customWidth="1"/>
    <col min="2" max="4" width="28.23046875" bestFit="1" customWidth="1"/>
  </cols>
  <sheetData>
    <row r="3" spans="1:2" x14ac:dyDescent="0.4">
      <c r="A3" s="10" t="s">
        <v>136</v>
      </c>
      <c r="B3" s="16" t="s">
        <v>137</v>
      </c>
    </row>
    <row r="4" spans="1:2" x14ac:dyDescent="0.4">
      <c r="A4" s="11" t="s">
        <v>55</v>
      </c>
      <c r="B4" s="16">
        <v>9.2026122639310648E-2</v>
      </c>
    </row>
    <row r="5" spans="1:2" x14ac:dyDescent="0.4">
      <c r="A5" s="11" t="s">
        <v>25</v>
      </c>
      <c r="B5" s="16">
        <v>0.10997963360031689</v>
      </c>
    </row>
    <row r="6" spans="1:2" x14ac:dyDescent="0.4">
      <c r="A6" s="11" t="s">
        <v>34</v>
      </c>
      <c r="B6" s="16">
        <v>0.10208070208678711</v>
      </c>
    </row>
    <row r="7" spans="1:2" x14ac:dyDescent="0.4">
      <c r="A7" s="11" t="s">
        <v>133</v>
      </c>
      <c r="B7" s="16">
        <v>0.10116573755338246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2E17-DF79-4B8C-A7B1-5053A8AEBE92}">
  <dimension ref="A1"/>
  <sheetViews>
    <sheetView tabSelected="1" workbookViewId="0">
      <selection activeCell="V2" sqref="V2"/>
    </sheetView>
  </sheetViews>
  <sheetFormatPr defaultRowHeight="14.6"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BD9C-CB9A-4E3B-8D35-1FC87BC61637}">
  <dimension ref="A1:AB70"/>
  <sheetViews>
    <sheetView workbookViewId="0">
      <selection activeCell="Z2" sqref="Z2"/>
    </sheetView>
  </sheetViews>
  <sheetFormatPr defaultRowHeight="14.6" x14ac:dyDescent="0.4"/>
  <cols>
    <col min="1" max="1" width="6.53515625" bestFit="1" customWidth="1"/>
    <col min="2" max="2" width="13.61328125" bestFit="1" customWidth="1"/>
    <col min="3" max="3" width="23.765625" bestFit="1" customWidth="1"/>
    <col min="4" max="4" width="15.3046875" bestFit="1" customWidth="1"/>
    <col min="5" max="5" width="10.23046875" bestFit="1" customWidth="1"/>
    <col min="6" max="6" width="19.84375" bestFit="1" customWidth="1"/>
    <col min="7" max="7" width="20.23046875" bestFit="1" customWidth="1"/>
    <col min="8" max="8" width="23.61328125" bestFit="1" customWidth="1"/>
    <col min="9" max="9" width="13.15234375" bestFit="1" customWidth="1"/>
    <col min="10" max="10" width="18.15234375" bestFit="1" customWidth="1"/>
    <col min="11" max="11" width="7.3828125" bestFit="1" customWidth="1"/>
    <col min="12" max="12" width="13.07421875" bestFit="1" customWidth="1"/>
    <col min="13" max="13" width="12.3828125" bestFit="1" customWidth="1"/>
    <col min="14" max="14" width="25.3828125" bestFit="1" customWidth="1"/>
    <col min="15" max="15" width="16.765625" bestFit="1" customWidth="1"/>
    <col min="16" max="16" width="23.84375" bestFit="1" customWidth="1"/>
    <col min="17" max="17" width="19.23046875" bestFit="1" customWidth="1"/>
    <col min="18" max="18" width="21.4609375" bestFit="1" customWidth="1"/>
    <col min="19" max="19" width="8.84375" bestFit="1" customWidth="1"/>
    <col min="20" max="20" width="17.4609375" bestFit="1" customWidth="1"/>
    <col min="21" max="21" width="15.3828125" bestFit="1" customWidth="1"/>
    <col min="22" max="22" width="7.765625" bestFit="1" customWidth="1"/>
    <col min="23" max="23" width="15.61328125" bestFit="1" customWidth="1"/>
    <col min="24" max="24" width="24.23046875" bestFit="1" customWidth="1"/>
    <col min="25" max="25" width="20.15234375" bestFit="1" customWidth="1"/>
    <col min="26" max="26" width="10.921875" bestFit="1" customWidth="1"/>
    <col min="27" max="27" width="13.69140625" bestFit="1" customWidth="1"/>
    <col min="28" max="28" width="16.07421875" bestFit="1" customWidth="1"/>
  </cols>
  <sheetData>
    <row r="1" spans="1:28" x14ac:dyDescent="0.4">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122</v>
      </c>
      <c r="Z1" s="2" t="s">
        <v>123</v>
      </c>
      <c r="AA1" s="2" t="s">
        <v>124</v>
      </c>
      <c r="AB1" s="3" t="s">
        <v>125</v>
      </c>
    </row>
    <row r="2" spans="1:28" x14ac:dyDescent="0.4">
      <c r="A2" s="4" t="s">
        <v>24</v>
      </c>
      <c r="B2" s="5" t="s">
        <v>25</v>
      </c>
      <c r="C2" s="5" t="s">
        <v>26</v>
      </c>
      <c r="D2" s="5" t="s">
        <v>27</v>
      </c>
      <c r="E2" s="5" t="s">
        <v>28</v>
      </c>
      <c r="F2" s="5">
        <v>215</v>
      </c>
      <c r="G2" s="5">
        <v>46.28</v>
      </c>
      <c r="H2" s="5">
        <v>29</v>
      </c>
      <c r="I2" s="5">
        <v>2.3E-3</v>
      </c>
      <c r="J2" s="5" t="s">
        <v>29</v>
      </c>
      <c r="K2" s="5">
        <v>69.81</v>
      </c>
      <c r="L2" s="5">
        <v>58</v>
      </c>
      <c r="M2" s="5">
        <v>0.55000000000000004</v>
      </c>
      <c r="N2" s="5">
        <v>7</v>
      </c>
      <c r="O2" s="5">
        <v>96</v>
      </c>
      <c r="P2" s="5">
        <v>802</v>
      </c>
      <c r="Q2" s="5">
        <v>8662</v>
      </c>
      <c r="R2" s="5" t="s">
        <v>30</v>
      </c>
      <c r="S2" s="5" t="s">
        <v>31</v>
      </c>
      <c r="T2" s="5" t="s">
        <v>32</v>
      </c>
      <c r="U2" s="5">
        <v>2.96</v>
      </c>
      <c r="V2" s="5">
        <v>187.75</v>
      </c>
      <c r="W2" s="5">
        <v>4</v>
      </c>
      <c r="X2" s="5">
        <v>29</v>
      </c>
      <c r="Y2" s="5">
        <v>236.99</v>
      </c>
      <c r="Z2" s="5">
        <v>8425.01</v>
      </c>
      <c r="AA2" s="5">
        <v>0.97264026783652702</v>
      </c>
      <c r="AB2" s="6">
        <v>4048.98</v>
      </c>
    </row>
    <row r="3" spans="1:28" x14ac:dyDescent="0.4">
      <c r="A3" s="4" t="s">
        <v>33</v>
      </c>
      <c r="B3" s="5" t="s">
        <v>34</v>
      </c>
      <c r="C3" s="5" t="s">
        <v>35</v>
      </c>
      <c r="D3" s="5" t="s">
        <v>27</v>
      </c>
      <c r="E3" s="5" t="s">
        <v>28</v>
      </c>
      <c r="F3" s="5">
        <v>517</v>
      </c>
      <c r="G3" s="5">
        <v>33.619999999999997</v>
      </c>
      <c r="H3" s="5">
        <v>30</v>
      </c>
      <c r="I3" s="5">
        <v>4.8500000000000001E-2</v>
      </c>
      <c r="J3" s="5" t="s">
        <v>29</v>
      </c>
      <c r="K3" s="5">
        <v>14.84</v>
      </c>
      <c r="L3" s="5">
        <v>53</v>
      </c>
      <c r="M3" s="5">
        <v>0.95</v>
      </c>
      <c r="N3" s="5">
        <v>30</v>
      </c>
      <c r="O3" s="5">
        <v>37</v>
      </c>
      <c r="P3" s="5">
        <v>736</v>
      </c>
      <c r="Q3" s="5">
        <v>7460.9</v>
      </c>
      <c r="R3" s="5" t="s">
        <v>30</v>
      </c>
      <c r="S3" s="5" t="s">
        <v>31</v>
      </c>
      <c r="T3" s="5" t="s">
        <v>36</v>
      </c>
      <c r="U3" s="5">
        <v>9.7200000000000006</v>
      </c>
      <c r="V3" s="5">
        <v>503.07</v>
      </c>
      <c r="W3" s="5">
        <v>2</v>
      </c>
      <c r="X3" s="5">
        <v>23</v>
      </c>
      <c r="Y3" s="5">
        <v>546.41</v>
      </c>
      <c r="Z3" s="5">
        <v>6914.49</v>
      </c>
      <c r="AA3" s="5">
        <v>0.92676352718840904</v>
      </c>
      <c r="AB3" s="6">
        <v>786.52</v>
      </c>
    </row>
    <row r="4" spans="1:28" x14ac:dyDescent="0.4">
      <c r="A4" s="4" t="s">
        <v>37</v>
      </c>
      <c r="B4" s="5" t="s">
        <v>34</v>
      </c>
      <c r="C4" s="5" t="s">
        <v>26</v>
      </c>
      <c r="D4" s="5" t="s">
        <v>38</v>
      </c>
      <c r="E4" s="5" t="s">
        <v>39</v>
      </c>
      <c r="F4" s="5">
        <v>937</v>
      </c>
      <c r="G4" s="5">
        <v>35.619999999999997</v>
      </c>
      <c r="H4" s="5">
        <v>18</v>
      </c>
      <c r="I4" s="5">
        <v>4.7500000000000001E-2</v>
      </c>
      <c r="J4" s="5" t="s">
        <v>40</v>
      </c>
      <c r="K4" s="5">
        <v>61.16</v>
      </c>
      <c r="L4" s="5">
        <v>23</v>
      </c>
      <c r="M4" s="5">
        <v>0.68</v>
      </c>
      <c r="N4" s="5">
        <v>13</v>
      </c>
      <c r="O4" s="5">
        <v>59</v>
      </c>
      <c r="P4" s="5">
        <v>83</v>
      </c>
      <c r="Q4" s="5">
        <v>7766.84</v>
      </c>
      <c r="R4" s="5" t="s">
        <v>41</v>
      </c>
      <c r="S4" s="5" t="s">
        <v>42</v>
      </c>
      <c r="T4" s="5" t="s">
        <v>43</v>
      </c>
      <c r="U4" s="5">
        <v>1.73</v>
      </c>
      <c r="V4" s="5">
        <v>254.78</v>
      </c>
      <c r="W4" s="5">
        <v>6</v>
      </c>
      <c r="X4" s="5">
        <v>24</v>
      </c>
      <c r="Y4" s="5">
        <v>292.13</v>
      </c>
      <c r="Z4" s="5">
        <v>7474.71</v>
      </c>
      <c r="AA4" s="5">
        <v>0.96238753469879601</v>
      </c>
      <c r="AB4" s="6">
        <v>1406.6799999999998</v>
      </c>
    </row>
    <row r="5" spans="1:28" x14ac:dyDescent="0.4">
      <c r="A5" s="4" t="s">
        <v>44</v>
      </c>
      <c r="B5" s="5" t="s">
        <v>34</v>
      </c>
      <c r="C5" s="5" t="s">
        <v>26</v>
      </c>
      <c r="D5" s="5" t="s">
        <v>45</v>
      </c>
      <c r="E5" s="5" t="s">
        <v>46</v>
      </c>
      <c r="F5" s="5">
        <v>414</v>
      </c>
      <c r="G5" s="5">
        <v>92.07</v>
      </c>
      <c r="H5" s="5">
        <v>3</v>
      </c>
      <c r="I5" s="5">
        <v>3.15E-2</v>
      </c>
      <c r="J5" s="5" t="s">
        <v>40</v>
      </c>
      <c r="K5" s="5">
        <v>4.8099999999999996</v>
      </c>
      <c r="L5" s="5">
        <v>5</v>
      </c>
      <c r="M5" s="5">
        <v>0.26</v>
      </c>
      <c r="N5" s="5">
        <v>3</v>
      </c>
      <c r="O5" s="5">
        <v>56</v>
      </c>
      <c r="P5" s="5">
        <v>871</v>
      </c>
      <c r="Q5" s="5">
        <v>2686.51</v>
      </c>
      <c r="R5" s="5" t="s">
        <v>47</v>
      </c>
      <c r="S5" s="5" t="s">
        <v>42</v>
      </c>
      <c r="T5" s="5" t="s">
        <v>36</v>
      </c>
      <c r="U5" s="5">
        <v>3.89</v>
      </c>
      <c r="V5" s="5">
        <v>923.44</v>
      </c>
      <c r="W5" s="5">
        <v>8</v>
      </c>
      <c r="X5" s="5">
        <v>5</v>
      </c>
      <c r="Y5" s="5">
        <v>1019.4000000000001</v>
      </c>
      <c r="Z5" s="5">
        <v>1667.1100000000001</v>
      </c>
      <c r="AA5" s="5">
        <v>0.62054859278394603</v>
      </c>
      <c r="AB5" s="6">
        <v>24.049999999999997</v>
      </c>
    </row>
    <row r="6" spans="1:28" x14ac:dyDescent="0.4">
      <c r="A6" s="4" t="s">
        <v>48</v>
      </c>
      <c r="B6" s="5" t="s">
        <v>25</v>
      </c>
      <c r="C6" s="5" t="s">
        <v>26</v>
      </c>
      <c r="D6" s="5" t="s">
        <v>49</v>
      </c>
      <c r="E6" s="5" t="s">
        <v>50</v>
      </c>
      <c r="F6" s="5">
        <v>104</v>
      </c>
      <c r="G6" s="5">
        <v>56.77</v>
      </c>
      <c r="H6" s="5">
        <v>17</v>
      </c>
      <c r="I6" s="5">
        <v>2.7799999999999998E-2</v>
      </c>
      <c r="J6" s="5" t="s">
        <v>40</v>
      </c>
      <c r="K6" s="5">
        <v>1.7</v>
      </c>
      <c r="L6" s="5">
        <v>90</v>
      </c>
      <c r="M6" s="5">
        <v>0.87</v>
      </c>
      <c r="N6" s="5">
        <v>27</v>
      </c>
      <c r="O6" s="5">
        <v>66</v>
      </c>
      <c r="P6" s="5">
        <v>147</v>
      </c>
      <c r="Q6" s="5">
        <v>2828.35</v>
      </c>
      <c r="R6" s="5" t="s">
        <v>30</v>
      </c>
      <c r="S6" s="5" t="s">
        <v>42</v>
      </c>
      <c r="T6" s="5" t="s">
        <v>32</v>
      </c>
      <c r="U6" s="5">
        <v>4.4400000000000004</v>
      </c>
      <c r="V6" s="5">
        <v>235.46</v>
      </c>
      <c r="W6" s="5">
        <v>3</v>
      </c>
      <c r="X6" s="5">
        <v>10</v>
      </c>
      <c r="Y6" s="5">
        <v>296.67</v>
      </c>
      <c r="Z6" s="5">
        <v>2531.6799999999998</v>
      </c>
      <c r="AA6" s="5">
        <v>0.89510845545989703</v>
      </c>
      <c r="AB6" s="6">
        <v>153</v>
      </c>
    </row>
    <row r="7" spans="1:28" x14ac:dyDescent="0.4">
      <c r="A7" s="4" t="s">
        <v>51</v>
      </c>
      <c r="B7" s="5" t="s">
        <v>34</v>
      </c>
      <c r="C7" s="5" t="s">
        <v>52</v>
      </c>
      <c r="D7" s="5" t="s">
        <v>27</v>
      </c>
      <c r="E7" s="5" t="s">
        <v>39</v>
      </c>
      <c r="F7" s="5">
        <v>314</v>
      </c>
      <c r="G7" s="5">
        <v>1.0900000000000001</v>
      </c>
      <c r="H7" s="5">
        <v>24</v>
      </c>
      <c r="I7" s="5">
        <v>0.01</v>
      </c>
      <c r="J7" s="5" t="s">
        <v>29</v>
      </c>
      <c r="K7" s="5">
        <v>4.08</v>
      </c>
      <c r="L7" s="5">
        <v>11</v>
      </c>
      <c r="M7" s="5">
        <v>0.48</v>
      </c>
      <c r="N7" s="5">
        <v>15</v>
      </c>
      <c r="O7" s="5">
        <v>58</v>
      </c>
      <c r="P7" s="5">
        <v>65</v>
      </c>
      <c r="Q7" s="5">
        <v>7823.48</v>
      </c>
      <c r="R7" s="5" t="s">
        <v>53</v>
      </c>
      <c r="S7" s="5" t="s">
        <v>42</v>
      </c>
      <c r="T7" s="5" t="s">
        <v>43</v>
      </c>
      <c r="U7" s="5">
        <v>3.88</v>
      </c>
      <c r="V7" s="5">
        <v>134.37</v>
      </c>
      <c r="W7" s="5">
        <v>8</v>
      </c>
      <c r="X7" s="5">
        <v>14</v>
      </c>
      <c r="Y7" s="5">
        <v>139.34</v>
      </c>
      <c r="Z7" s="5">
        <v>7684.1399999999994</v>
      </c>
      <c r="AA7" s="5">
        <v>0.98218951157285495</v>
      </c>
      <c r="AB7" s="6">
        <v>44.88</v>
      </c>
    </row>
    <row r="8" spans="1:28" x14ac:dyDescent="0.4">
      <c r="A8" s="4" t="s">
        <v>54</v>
      </c>
      <c r="B8" s="5" t="s">
        <v>55</v>
      </c>
      <c r="C8" s="5" t="s">
        <v>35</v>
      </c>
      <c r="D8" s="5" t="s">
        <v>49</v>
      </c>
      <c r="E8" s="5" t="s">
        <v>50</v>
      </c>
      <c r="F8" s="5">
        <v>564</v>
      </c>
      <c r="G8" s="5">
        <v>99.47</v>
      </c>
      <c r="H8" s="5">
        <v>1</v>
      </c>
      <c r="I8" s="5">
        <v>4.0000000000000001E-3</v>
      </c>
      <c r="J8" s="5" t="s">
        <v>40</v>
      </c>
      <c r="K8" s="5">
        <v>42.96</v>
      </c>
      <c r="L8" s="5">
        <v>93</v>
      </c>
      <c r="M8" s="5">
        <v>0.59</v>
      </c>
      <c r="N8" s="5">
        <v>17</v>
      </c>
      <c r="O8" s="5">
        <v>11</v>
      </c>
      <c r="P8" s="5">
        <v>426</v>
      </c>
      <c r="Q8" s="5">
        <v>8496.1</v>
      </c>
      <c r="R8" s="5" t="s">
        <v>30</v>
      </c>
      <c r="S8" s="5" t="s">
        <v>56</v>
      </c>
      <c r="T8" s="5" t="s">
        <v>32</v>
      </c>
      <c r="U8" s="5">
        <v>2.35</v>
      </c>
      <c r="V8" s="5">
        <v>802.06</v>
      </c>
      <c r="W8" s="5">
        <v>1</v>
      </c>
      <c r="X8" s="5">
        <v>22</v>
      </c>
      <c r="Y8" s="5">
        <v>903.87999999999988</v>
      </c>
      <c r="Z8" s="5">
        <v>7592.22</v>
      </c>
      <c r="AA8" s="5">
        <v>0.893612363319641</v>
      </c>
      <c r="AB8" s="6">
        <v>3995.28</v>
      </c>
    </row>
    <row r="9" spans="1:28" x14ac:dyDescent="0.4">
      <c r="A9" s="4" t="s">
        <v>57</v>
      </c>
      <c r="B9" s="5" t="s">
        <v>55</v>
      </c>
      <c r="C9" s="5" t="s">
        <v>35</v>
      </c>
      <c r="D9" s="5" t="s">
        <v>49</v>
      </c>
      <c r="E9" s="5" t="s">
        <v>28</v>
      </c>
      <c r="F9" s="5">
        <v>769</v>
      </c>
      <c r="G9" s="5">
        <v>11.42</v>
      </c>
      <c r="H9" s="5">
        <v>8</v>
      </c>
      <c r="I9" s="5">
        <v>2.7099999999999999E-2</v>
      </c>
      <c r="J9" s="5" t="s">
        <v>29</v>
      </c>
      <c r="K9" s="5">
        <v>68.72</v>
      </c>
      <c r="L9" s="5">
        <v>5</v>
      </c>
      <c r="M9" s="5">
        <v>0.78</v>
      </c>
      <c r="N9" s="5">
        <v>10</v>
      </c>
      <c r="O9" s="5">
        <v>15</v>
      </c>
      <c r="P9" s="5">
        <v>150</v>
      </c>
      <c r="Q9" s="5">
        <v>7517.36</v>
      </c>
      <c r="R9" s="5" t="s">
        <v>53</v>
      </c>
      <c r="S9" s="5" t="s">
        <v>31</v>
      </c>
      <c r="T9" s="5" t="s">
        <v>43</v>
      </c>
      <c r="U9" s="5">
        <v>3.4</v>
      </c>
      <c r="V9" s="5">
        <v>505.56</v>
      </c>
      <c r="W9" s="5">
        <v>7</v>
      </c>
      <c r="X9" s="5">
        <v>13</v>
      </c>
      <c r="Y9" s="5">
        <v>520.38</v>
      </c>
      <c r="Z9" s="5">
        <v>6996.98</v>
      </c>
      <c r="AA9" s="5">
        <v>0.93077622995306897</v>
      </c>
      <c r="AB9" s="6">
        <v>343.6</v>
      </c>
    </row>
    <row r="10" spans="1:28" x14ac:dyDescent="0.4">
      <c r="A10" s="4" t="s">
        <v>58</v>
      </c>
      <c r="B10" s="5" t="s">
        <v>34</v>
      </c>
      <c r="C10" s="5" t="s">
        <v>26</v>
      </c>
      <c r="D10" s="5" t="s">
        <v>38</v>
      </c>
      <c r="E10" s="5" t="s">
        <v>39</v>
      </c>
      <c r="F10" s="5">
        <v>830</v>
      </c>
      <c r="G10" s="5">
        <v>96.53</v>
      </c>
      <c r="H10" s="5">
        <v>5</v>
      </c>
      <c r="I10" s="5">
        <v>1.7299999999999999E-2</v>
      </c>
      <c r="J10" s="5" t="s">
        <v>59</v>
      </c>
      <c r="K10" s="5">
        <v>15.71</v>
      </c>
      <c r="L10" s="5">
        <v>51</v>
      </c>
      <c r="M10" s="5">
        <v>0.11</v>
      </c>
      <c r="N10" s="5">
        <v>13</v>
      </c>
      <c r="O10" s="5">
        <v>80</v>
      </c>
      <c r="P10" s="5">
        <v>996</v>
      </c>
      <c r="Q10" s="5">
        <v>2330.9699999999998</v>
      </c>
      <c r="R10" s="5" t="s">
        <v>30</v>
      </c>
      <c r="S10" s="5" t="s">
        <v>31</v>
      </c>
      <c r="T10" s="5" t="s">
        <v>43</v>
      </c>
      <c r="U10" s="5">
        <v>8.67</v>
      </c>
      <c r="V10" s="5">
        <v>806.1</v>
      </c>
      <c r="W10" s="5">
        <v>2</v>
      </c>
      <c r="X10" s="5">
        <v>18</v>
      </c>
      <c r="Y10" s="5">
        <v>911.30000000000007</v>
      </c>
      <c r="Z10" s="5">
        <v>1419.6699999999996</v>
      </c>
      <c r="AA10" s="5">
        <v>0.60904687748019004</v>
      </c>
      <c r="AB10" s="6">
        <v>801.21</v>
      </c>
    </row>
    <row r="11" spans="1:28" x14ac:dyDescent="0.4">
      <c r="A11" s="4" t="s">
        <v>60</v>
      </c>
      <c r="B11" s="5" t="s">
        <v>34</v>
      </c>
      <c r="C11" s="5" t="s">
        <v>35</v>
      </c>
      <c r="D11" s="5" t="s">
        <v>61</v>
      </c>
      <c r="E11" s="5" t="s">
        <v>39</v>
      </c>
      <c r="F11" s="5">
        <v>362</v>
      </c>
      <c r="G11" s="5">
        <v>27.59</v>
      </c>
      <c r="H11" s="5">
        <v>11</v>
      </c>
      <c r="I11" s="5">
        <v>2.0000000000000001E-4</v>
      </c>
      <c r="J11" s="5" t="s">
        <v>29</v>
      </c>
      <c r="K11" s="5">
        <v>90.64</v>
      </c>
      <c r="L11" s="5">
        <v>46</v>
      </c>
      <c r="M11" s="5">
        <v>0.95</v>
      </c>
      <c r="N11" s="5">
        <v>23</v>
      </c>
      <c r="O11" s="5">
        <v>60</v>
      </c>
      <c r="P11" s="5">
        <v>960</v>
      </c>
      <c r="Q11" s="5">
        <v>6099.94</v>
      </c>
      <c r="R11" s="5" t="s">
        <v>47</v>
      </c>
      <c r="S11" s="5" t="s">
        <v>42</v>
      </c>
      <c r="T11" s="5" t="s">
        <v>36</v>
      </c>
      <c r="U11" s="5">
        <v>4.5199999999999996</v>
      </c>
      <c r="V11" s="5">
        <v>126.72</v>
      </c>
      <c r="W11" s="5">
        <v>1</v>
      </c>
      <c r="X11" s="5">
        <v>28</v>
      </c>
      <c r="Y11" s="5">
        <v>158.82999999999998</v>
      </c>
      <c r="Z11" s="5">
        <v>5941.11</v>
      </c>
      <c r="AA11" s="5">
        <v>0.97396203897087497</v>
      </c>
      <c r="AB11" s="6">
        <v>4169.4399999999996</v>
      </c>
    </row>
    <row r="12" spans="1:28" x14ac:dyDescent="0.4">
      <c r="A12" s="4" t="s">
        <v>62</v>
      </c>
      <c r="B12" s="5" t="s">
        <v>34</v>
      </c>
      <c r="C12" s="5" t="s">
        <v>52</v>
      </c>
      <c r="D12" s="5" t="s">
        <v>38</v>
      </c>
      <c r="E12" s="5" t="s">
        <v>50</v>
      </c>
      <c r="F12" s="5">
        <v>173</v>
      </c>
      <c r="G12" s="5">
        <v>97.83</v>
      </c>
      <c r="H12" s="5">
        <v>10</v>
      </c>
      <c r="I12" s="5">
        <v>1.6299999999999999E-2</v>
      </c>
      <c r="J12" s="5" t="s">
        <v>29</v>
      </c>
      <c r="K12" s="5">
        <v>16.16</v>
      </c>
      <c r="L12" s="5">
        <v>80</v>
      </c>
      <c r="M12" s="5">
        <v>0.05</v>
      </c>
      <c r="N12" s="5">
        <v>8</v>
      </c>
      <c r="O12" s="5">
        <v>48</v>
      </c>
      <c r="P12" s="5">
        <v>249</v>
      </c>
      <c r="Q12" s="5">
        <v>4052.74</v>
      </c>
      <c r="R12" s="5" t="s">
        <v>30</v>
      </c>
      <c r="S12" s="5" t="s">
        <v>31</v>
      </c>
      <c r="T12" s="5" t="s">
        <v>36</v>
      </c>
      <c r="U12" s="5">
        <v>9.5399999999999991</v>
      </c>
      <c r="V12" s="5">
        <v>547.24</v>
      </c>
      <c r="W12" s="5">
        <v>9</v>
      </c>
      <c r="X12" s="5">
        <v>23</v>
      </c>
      <c r="Y12" s="5">
        <v>654.61</v>
      </c>
      <c r="Z12" s="5">
        <v>3398.1299999999997</v>
      </c>
      <c r="AA12" s="5">
        <v>0.83847717840276004</v>
      </c>
      <c r="AB12" s="6">
        <v>1292.8</v>
      </c>
    </row>
    <row r="13" spans="1:28" x14ac:dyDescent="0.4">
      <c r="A13" s="4" t="s">
        <v>63</v>
      </c>
      <c r="B13" s="5" t="s">
        <v>34</v>
      </c>
      <c r="C13" s="5" t="s">
        <v>26</v>
      </c>
      <c r="D13" s="5" t="s">
        <v>45</v>
      </c>
      <c r="E13" s="5" t="s">
        <v>39</v>
      </c>
      <c r="F13" s="5">
        <v>558</v>
      </c>
      <c r="G13" s="5">
        <v>5.79</v>
      </c>
      <c r="H13" s="5">
        <v>14</v>
      </c>
      <c r="I13" s="5">
        <v>1E-3</v>
      </c>
      <c r="J13" s="5" t="s">
        <v>29</v>
      </c>
      <c r="K13" s="5">
        <v>99.17</v>
      </c>
      <c r="L13" s="5">
        <v>54</v>
      </c>
      <c r="M13" s="5">
        <v>0.26</v>
      </c>
      <c r="N13" s="5">
        <v>29</v>
      </c>
      <c r="O13" s="5">
        <v>78</v>
      </c>
      <c r="P13" s="5">
        <v>562</v>
      </c>
      <c r="Q13" s="5">
        <v>8653.57</v>
      </c>
      <c r="R13" s="5" t="s">
        <v>47</v>
      </c>
      <c r="S13" s="5" t="s">
        <v>31</v>
      </c>
      <c r="T13" s="5" t="s">
        <v>32</v>
      </c>
      <c r="U13" s="5">
        <v>2.04</v>
      </c>
      <c r="V13" s="5">
        <v>929.24</v>
      </c>
      <c r="W13" s="5">
        <v>5</v>
      </c>
      <c r="X13" s="5">
        <v>25</v>
      </c>
      <c r="Y13" s="5">
        <v>937.07</v>
      </c>
      <c r="Z13" s="5">
        <v>7716.5</v>
      </c>
      <c r="AA13" s="5">
        <v>0.89171289999387504</v>
      </c>
      <c r="AB13" s="6">
        <v>5355.18</v>
      </c>
    </row>
    <row r="14" spans="1:28" x14ac:dyDescent="0.4">
      <c r="A14" s="4" t="s">
        <v>64</v>
      </c>
      <c r="B14" s="5" t="s">
        <v>34</v>
      </c>
      <c r="C14" s="5" t="s">
        <v>26</v>
      </c>
      <c r="D14" s="5" t="s">
        <v>45</v>
      </c>
      <c r="E14" s="5" t="s">
        <v>50</v>
      </c>
      <c r="F14" s="5">
        <v>580</v>
      </c>
      <c r="G14" s="5">
        <v>97.12</v>
      </c>
      <c r="H14" s="5">
        <v>7</v>
      </c>
      <c r="I14" s="5">
        <v>2.2599999999999999E-2</v>
      </c>
      <c r="J14" s="5" t="s">
        <v>59</v>
      </c>
      <c r="K14" s="5">
        <v>36.99</v>
      </c>
      <c r="L14" s="5">
        <v>9</v>
      </c>
      <c r="M14" s="5">
        <v>0.94</v>
      </c>
      <c r="N14" s="5">
        <v>8</v>
      </c>
      <c r="O14" s="5">
        <v>69</v>
      </c>
      <c r="P14" s="5">
        <v>469</v>
      </c>
      <c r="Q14" s="5">
        <v>5442.09</v>
      </c>
      <c r="R14" s="5" t="s">
        <v>53</v>
      </c>
      <c r="S14" s="5" t="s">
        <v>31</v>
      </c>
      <c r="T14" s="5" t="s">
        <v>32</v>
      </c>
      <c r="U14" s="5">
        <v>2.42</v>
      </c>
      <c r="V14" s="5">
        <v>127.86</v>
      </c>
      <c r="W14" s="5">
        <v>7</v>
      </c>
      <c r="X14" s="5">
        <v>14</v>
      </c>
      <c r="Y14" s="5">
        <v>227.4</v>
      </c>
      <c r="Z14" s="5">
        <v>5214.6900000000005</v>
      </c>
      <c r="AA14" s="5">
        <v>0.95821458300028095</v>
      </c>
      <c r="AB14" s="6">
        <v>332.91</v>
      </c>
    </row>
    <row r="15" spans="1:28" x14ac:dyDescent="0.4">
      <c r="A15" s="4" t="s">
        <v>65</v>
      </c>
      <c r="B15" s="5" t="s">
        <v>34</v>
      </c>
      <c r="C15" s="5" t="s">
        <v>35</v>
      </c>
      <c r="D15" s="5" t="s">
        <v>45</v>
      </c>
      <c r="E15" s="5" t="s">
        <v>50</v>
      </c>
      <c r="F15" s="5">
        <v>399</v>
      </c>
      <c r="G15" s="5">
        <v>77.11</v>
      </c>
      <c r="H15" s="5">
        <v>21</v>
      </c>
      <c r="I15" s="5">
        <v>1.01E-2</v>
      </c>
      <c r="J15" s="5" t="s">
        <v>59</v>
      </c>
      <c r="K15" s="5">
        <v>7.55</v>
      </c>
      <c r="L15" s="5">
        <v>2</v>
      </c>
      <c r="M15" s="5">
        <v>0.74</v>
      </c>
      <c r="N15" s="5">
        <v>5</v>
      </c>
      <c r="O15" s="5">
        <v>78</v>
      </c>
      <c r="P15" s="5">
        <v>280</v>
      </c>
      <c r="Q15" s="5">
        <v>6453.8</v>
      </c>
      <c r="R15" s="5" t="s">
        <v>47</v>
      </c>
      <c r="S15" s="5" t="s">
        <v>42</v>
      </c>
      <c r="T15" s="5" t="s">
        <v>32</v>
      </c>
      <c r="U15" s="5">
        <v>4.1900000000000004</v>
      </c>
      <c r="V15" s="5">
        <v>865.53</v>
      </c>
      <c r="W15" s="5">
        <v>1</v>
      </c>
      <c r="X15" s="5">
        <v>3</v>
      </c>
      <c r="Y15" s="5">
        <v>946.82999999999993</v>
      </c>
      <c r="Z15" s="5">
        <v>5506.97</v>
      </c>
      <c r="AA15" s="5">
        <v>0.85329108432241496</v>
      </c>
      <c r="AB15" s="6">
        <v>15.1</v>
      </c>
    </row>
    <row r="16" spans="1:28" x14ac:dyDescent="0.4">
      <c r="A16" s="4" t="s">
        <v>66</v>
      </c>
      <c r="B16" s="5" t="s">
        <v>55</v>
      </c>
      <c r="C16" s="5" t="s">
        <v>35</v>
      </c>
      <c r="D16" s="5" t="s">
        <v>45</v>
      </c>
      <c r="E16" s="5" t="s">
        <v>67</v>
      </c>
      <c r="F16" s="5">
        <v>453</v>
      </c>
      <c r="G16" s="5">
        <v>47.68</v>
      </c>
      <c r="H16" s="5">
        <v>16</v>
      </c>
      <c r="I16" s="5">
        <v>1E-3</v>
      </c>
      <c r="J16" s="5" t="s">
        <v>40</v>
      </c>
      <c r="K16" s="5">
        <v>81.459999999999994</v>
      </c>
      <c r="L16" s="5">
        <v>45</v>
      </c>
      <c r="M16" s="5">
        <v>0.82</v>
      </c>
      <c r="N16" s="5">
        <v>17</v>
      </c>
      <c r="O16" s="5">
        <v>85</v>
      </c>
      <c r="P16" s="5">
        <v>126</v>
      </c>
      <c r="Q16" s="5">
        <v>2629.4</v>
      </c>
      <c r="R16" s="5" t="s">
        <v>47</v>
      </c>
      <c r="S16" s="5" t="s">
        <v>56</v>
      </c>
      <c r="T16" s="5" t="s">
        <v>43</v>
      </c>
      <c r="U16" s="5">
        <v>3.59</v>
      </c>
      <c r="V16" s="5">
        <v>670.93</v>
      </c>
      <c r="W16" s="5">
        <v>9</v>
      </c>
      <c r="X16" s="5">
        <v>7</v>
      </c>
      <c r="Y16" s="5">
        <v>722.19999999999993</v>
      </c>
      <c r="Z16" s="5">
        <v>1907.2000000000003</v>
      </c>
      <c r="AA16" s="5">
        <v>0.72533657868715296</v>
      </c>
      <c r="AB16" s="6">
        <v>3665.7</v>
      </c>
    </row>
    <row r="17" spans="1:28" x14ac:dyDescent="0.4">
      <c r="A17" s="4" t="s">
        <v>68</v>
      </c>
      <c r="B17" s="5" t="s">
        <v>25</v>
      </c>
      <c r="C17" s="5" t="s">
        <v>52</v>
      </c>
      <c r="D17" s="5" t="s">
        <v>61</v>
      </c>
      <c r="E17" s="5" t="s">
        <v>50</v>
      </c>
      <c r="F17" s="5">
        <v>447</v>
      </c>
      <c r="G17" s="5">
        <v>40.380000000000003</v>
      </c>
      <c r="H17" s="5">
        <v>3</v>
      </c>
      <c r="I17" s="5">
        <v>3.6900000000000002E-2</v>
      </c>
      <c r="J17" s="5" t="s">
        <v>29</v>
      </c>
      <c r="K17" s="5">
        <v>4.16</v>
      </c>
      <c r="L17" s="5">
        <v>4</v>
      </c>
      <c r="M17" s="5">
        <v>0.32</v>
      </c>
      <c r="N17" s="5">
        <v>26</v>
      </c>
      <c r="O17" s="5">
        <v>2</v>
      </c>
      <c r="P17" s="5">
        <v>209</v>
      </c>
      <c r="Q17" s="5">
        <v>9049.08</v>
      </c>
      <c r="R17" s="5" t="s">
        <v>47</v>
      </c>
      <c r="S17" s="5" t="s">
        <v>42</v>
      </c>
      <c r="T17" s="5" t="s">
        <v>43</v>
      </c>
      <c r="U17" s="5">
        <v>9.74</v>
      </c>
      <c r="V17" s="5">
        <v>758.72</v>
      </c>
      <c r="W17" s="5">
        <v>8</v>
      </c>
      <c r="X17" s="5">
        <v>28</v>
      </c>
      <c r="Y17" s="5">
        <v>808.84</v>
      </c>
      <c r="Z17" s="5">
        <v>8240.24</v>
      </c>
      <c r="AA17" s="5">
        <v>0.91061632784769297</v>
      </c>
      <c r="AB17" s="6">
        <v>16.64</v>
      </c>
    </row>
    <row r="18" spans="1:28" x14ac:dyDescent="0.4">
      <c r="A18" s="4" t="s">
        <v>69</v>
      </c>
      <c r="B18" s="5" t="s">
        <v>25</v>
      </c>
      <c r="C18" s="5" t="s">
        <v>52</v>
      </c>
      <c r="D18" s="5" t="s">
        <v>49</v>
      </c>
      <c r="E18" s="5" t="s">
        <v>39</v>
      </c>
      <c r="F18" s="5">
        <v>934</v>
      </c>
      <c r="G18" s="5">
        <v>78.28</v>
      </c>
      <c r="H18" s="5">
        <v>23</v>
      </c>
      <c r="I18" s="5">
        <v>3.7999999999999999E-2</v>
      </c>
      <c r="J18" s="5" t="s">
        <v>29</v>
      </c>
      <c r="K18" s="5">
        <v>39.630000000000003</v>
      </c>
      <c r="L18" s="5">
        <v>82</v>
      </c>
      <c r="M18" s="5">
        <v>0.73</v>
      </c>
      <c r="N18" s="5">
        <v>11</v>
      </c>
      <c r="O18" s="5">
        <v>52</v>
      </c>
      <c r="P18" s="5">
        <v>142</v>
      </c>
      <c r="Q18" s="5">
        <v>2174.7800000000002</v>
      </c>
      <c r="R18" s="5" t="s">
        <v>30</v>
      </c>
      <c r="S18" s="5" t="s">
        <v>31</v>
      </c>
      <c r="T18" s="5" t="s">
        <v>43</v>
      </c>
      <c r="U18" s="5">
        <v>2.23</v>
      </c>
      <c r="V18" s="5">
        <v>458.54</v>
      </c>
      <c r="W18" s="5">
        <v>3</v>
      </c>
      <c r="X18" s="5">
        <v>19</v>
      </c>
      <c r="Y18" s="5">
        <v>539.05000000000007</v>
      </c>
      <c r="Z18" s="5">
        <v>1635.73</v>
      </c>
      <c r="AA18" s="5">
        <v>0.75213584822372803</v>
      </c>
      <c r="AB18" s="6">
        <v>3249.6600000000003</v>
      </c>
    </row>
    <row r="19" spans="1:28" x14ac:dyDescent="0.4">
      <c r="A19" s="4" t="s">
        <v>70</v>
      </c>
      <c r="B19" s="5" t="s">
        <v>25</v>
      </c>
      <c r="C19" s="5" t="s">
        <v>52</v>
      </c>
      <c r="D19" s="5" t="s">
        <v>61</v>
      </c>
      <c r="E19" s="5" t="s">
        <v>50</v>
      </c>
      <c r="F19" s="5">
        <v>171</v>
      </c>
      <c r="G19" s="5">
        <v>15.97</v>
      </c>
      <c r="H19" s="5">
        <v>4</v>
      </c>
      <c r="I19" s="5">
        <v>2.12E-2</v>
      </c>
      <c r="J19" s="5" t="s">
        <v>59</v>
      </c>
      <c r="K19" s="5">
        <v>97.45</v>
      </c>
      <c r="L19" s="5">
        <v>59</v>
      </c>
      <c r="M19" s="5">
        <v>0.09</v>
      </c>
      <c r="N19" s="5">
        <v>16</v>
      </c>
      <c r="O19" s="5">
        <v>48</v>
      </c>
      <c r="P19" s="5">
        <v>353</v>
      </c>
      <c r="Q19" s="5">
        <v>3716.49</v>
      </c>
      <c r="R19" s="5" t="s">
        <v>41</v>
      </c>
      <c r="S19" s="5" t="s">
        <v>42</v>
      </c>
      <c r="T19" s="5" t="s">
        <v>32</v>
      </c>
      <c r="U19" s="5">
        <v>6.51</v>
      </c>
      <c r="V19" s="5">
        <v>617.87</v>
      </c>
      <c r="W19" s="5">
        <v>4</v>
      </c>
      <c r="X19" s="5">
        <v>26</v>
      </c>
      <c r="Y19" s="5">
        <v>640.35</v>
      </c>
      <c r="Z19" s="5">
        <v>3076.14</v>
      </c>
      <c r="AA19" s="5">
        <v>0.82770033015022204</v>
      </c>
      <c r="AB19" s="6">
        <v>5749.55</v>
      </c>
    </row>
    <row r="20" spans="1:28" x14ac:dyDescent="0.4">
      <c r="A20" s="4" t="s">
        <v>71</v>
      </c>
      <c r="B20" s="5" t="s">
        <v>55</v>
      </c>
      <c r="C20" s="5" t="s">
        <v>35</v>
      </c>
      <c r="D20" s="5" t="s">
        <v>45</v>
      </c>
      <c r="E20" s="5" t="s">
        <v>28</v>
      </c>
      <c r="F20" s="5">
        <v>171</v>
      </c>
      <c r="G20" s="5">
        <v>59.43</v>
      </c>
      <c r="H20" s="5">
        <v>7</v>
      </c>
      <c r="I20" s="5">
        <v>8.2000000000000007E-3</v>
      </c>
      <c r="J20" s="5" t="s">
        <v>40</v>
      </c>
      <c r="K20" s="5">
        <v>2.4</v>
      </c>
      <c r="L20" s="5">
        <v>48</v>
      </c>
      <c r="M20" s="5">
        <v>0.12</v>
      </c>
      <c r="N20" s="5">
        <v>15</v>
      </c>
      <c r="O20" s="5">
        <v>24</v>
      </c>
      <c r="P20" s="5">
        <v>394</v>
      </c>
      <c r="Q20" s="5">
        <v>6117.32</v>
      </c>
      <c r="R20" s="5" t="s">
        <v>47</v>
      </c>
      <c r="S20" s="5" t="s">
        <v>42</v>
      </c>
      <c r="T20" s="5" t="s">
        <v>32</v>
      </c>
      <c r="U20" s="5">
        <v>9.9</v>
      </c>
      <c r="V20" s="5">
        <v>123.44</v>
      </c>
      <c r="W20" s="5">
        <v>4</v>
      </c>
      <c r="X20" s="5">
        <v>13</v>
      </c>
      <c r="Y20" s="5">
        <v>192.76999999999998</v>
      </c>
      <c r="Z20" s="5">
        <v>5924.5499999999993</v>
      </c>
      <c r="AA20" s="5">
        <v>0.968487834541924</v>
      </c>
      <c r="AB20" s="6">
        <v>115.19999999999999</v>
      </c>
    </row>
    <row r="21" spans="1:28" x14ac:dyDescent="0.4">
      <c r="A21" s="4" t="s">
        <v>72</v>
      </c>
      <c r="B21" s="5" t="s">
        <v>55</v>
      </c>
      <c r="C21" s="5" t="s">
        <v>35</v>
      </c>
      <c r="D21" s="5" t="s">
        <v>45</v>
      </c>
      <c r="E21" s="5" t="s">
        <v>39</v>
      </c>
      <c r="F21" s="5">
        <v>329</v>
      </c>
      <c r="G21" s="5">
        <v>39.29</v>
      </c>
      <c r="H21" s="5">
        <v>7</v>
      </c>
      <c r="I21" s="5">
        <v>3.8800000000000001E-2</v>
      </c>
      <c r="J21" s="5" t="s">
        <v>59</v>
      </c>
      <c r="K21" s="5">
        <v>63.45</v>
      </c>
      <c r="L21" s="5">
        <v>45</v>
      </c>
      <c r="M21" s="5">
        <v>0.03</v>
      </c>
      <c r="N21" s="5">
        <v>5</v>
      </c>
      <c r="O21" s="5">
        <v>67</v>
      </c>
      <c r="P21" s="5">
        <v>253</v>
      </c>
      <c r="Q21" s="5">
        <v>8318.9</v>
      </c>
      <c r="R21" s="5" t="s">
        <v>30</v>
      </c>
      <c r="S21" s="5" t="s">
        <v>31</v>
      </c>
      <c r="T21" s="5" t="s">
        <v>32</v>
      </c>
      <c r="U21" s="5">
        <v>8.1</v>
      </c>
      <c r="V21" s="5">
        <v>764.94</v>
      </c>
      <c r="W21" s="5">
        <v>7</v>
      </c>
      <c r="X21" s="5">
        <v>16</v>
      </c>
      <c r="Y21" s="5">
        <v>812.33</v>
      </c>
      <c r="Z21" s="5">
        <v>7506.57</v>
      </c>
      <c r="AA21" s="5">
        <v>0.90235127240380397</v>
      </c>
      <c r="AB21" s="6">
        <v>2855.25</v>
      </c>
    </row>
    <row r="22" spans="1:28" x14ac:dyDescent="0.4">
      <c r="A22" s="4" t="s">
        <v>73</v>
      </c>
      <c r="B22" s="5" t="s">
        <v>25</v>
      </c>
      <c r="C22" s="5" t="s">
        <v>52</v>
      </c>
      <c r="D22" s="5" t="s">
        <v>49</v>
      </c>
      <c r="E22" s="5" t="s">
        <v>39</v>
      </c>
      <c r="F22" s="5">
        <v>806</v>
      </c>
      <c r="G22" s="5">
        <v>51.63</v>
      </c>
      <c r="H22" s="5">
        <v>30</v>
      </c>
      <c r="I22" s="5">
        <v>9.7000000000000003E-3</v>
      </c>
      <c r="J22" s="5" t="s">
        <v>29</v>
      </c>
      <c r="K22" s="5">
        <v>8.02</v>
      </c>
      <c r="L22" s="5">
        <v>60</v>
      </c>
      <c r="M22" s="5">
        <v>0.1</v>
      </c>
      <c r="N22" s="5">
        <v>26</v>
      </c>
      <c r="O22" s="5">
        <v>35</v>
      </c>
      <c r="P22" s="5">
        <v>327</v>
      </c>
      <c r="Q22" s="5">
        <v>2766.34</v>
      </c>
      <c r="R22" s="5" t="s">
        <v>30</v>
      </c>
      <c r="S22" s="5" t="s">
        <v>56</v>
      </c>
      <c r="T22" s="5" t="s">
        <v>32</v>
      </c>
      <c r="U22" s="5">
        <v>8.9499999999999993</v>
      </c>
      <c r="V22" s="5">
        <v>880.08</v>
      </c>
      <c r="W22" s="5">
        <v>7</v>
      </c>
      <c r="X22" s="5">
        <v>27</v>
      </c>
      <c r="Y22" s="5">
        <v>940.66000000000008</v>
      </c>
      <c r="Z22" s="5">
        <v>1825.68</v>
      </c>
      <c r="AA22" s="5">
        <v>0.65996226060426399</v>
      </c>
      <c r="AB22" s="6">
        <v>481.2</v>
      </c>
    </row>
    <row r="23" spans="1:28" x14ac:dyDescent="0.4">
      <c r="A23" s="4" t="s">
        <v>74</v>
      </c>
      <c r="B23" s="5" t="s">
        <v>34</v>
      </c>
      <c r="C23" s="5" t="s">
        <v>52</v>
      </c>
      <c r="D23" s="5" t="s">
        <v>27</v>
      </c>
      <c r="E23" s="5" t="s">
        <v>67</v>
      </c>
      <c r="F23" s="5">
        <v>461</v>
      </c>
      <c r="G23" s="5">
        <v>60.25</v>
      </c>
      <c r="H23" s="5">
        <v>8</v>
      </c>
      <c r="I23" s="5">
        <v>2.9899999999999999E-2</v>
      </c>
      <c r="J23" s="5" t="s">
        <v>29</v>
      </c>
      <c r="K23" s="5">
        <v>50.85</v>
      </c>
      <c r="L23" s="5">
        <v>6</v>
      </c>
      <c r="M23" s="5">
        <v>0.28000000000000003</v>
      </c>
      <c r="N23" s="5">
        <v>17</v>
      </c>
      <c r="O23" s="5">
        <v>44</v>
      </c>
      <c r="P23" s="5">
        <v>168</v>
      </c>
      <c r="Q23" s="5">
        <v>9655.14</v>
      </c>
      <c r="R23" s="5" t="s">
        <v>41</v>
      </c>
      <c r="S23" s="5" t="s">
        <v>56</v>
      </c>
      <c r="T23" s="5" t="s">
        <v>32</v>
      </c>
      <c r="U23" s="5">
        <v>2.68</v>
      </c>
      <c r="V23" s="5">
        <v>609.38</v>
      </c>
      <c r="W23" s="5">
        <v>4</v>
      </c>
      <c r="X23" s="5">
        <v>24</v>
      </c>
      <c r="Y23" s="5">
        <v>672.31</v>
      </c>
      <c r="Z23" s="5">
        <v>8982.83</v>
      </c>
      <c r="AA23" s="5">
        <v>0.93036765909142705</v>
      </c>
      <c r="AB23" s="6">
        <v>305.10000000000002</v>
      </c>
    </row>
    <row r="24" spans="1:28" x14ac:dyDescent="0.4">
      <c r="A24" s="4" t="s">
        <v>75</v>
      </c>
      <c r="B24" s="5" t="s">
        <v>55</v>
      </c>
      <c r="C24" s="5" t="s">
        <v>26</v>
      </c>
      <c r="D24" s="5" t="s">
        <v>38</v>
      </c>
      <c r="E24" s="5" t="s">
        <v>67</v>
      </c>
      <c r="F24" s="5">
        <v>251</v>
      </c>
      <c r="G24" s="5">
        <v>23.85</v>
      </c>
      <c r="H24" s="5">
        <v>23</v>
      </c>
      <c r="I24" s="5">
        <v>3.5400000000000001E-2</v>
      </c>
      <c r="J24" s="5" t="s">
        <v>40</v>
      </c>
      <c r="K24" s="5">
        <v>64.8</v>
      </c>
      <c r="L24" s="5">
        <v>4</v>
      </c>
      <c r="M24" s="5">
        <v>0.63</v>
      </c>
      <c r="N24" s="5">
        <v>17</v>
      </c>
      <c r="O24" s="5">
        <v>95</v>
      </c>
      <c r="P24" s="5">
        <v>616</v>
      </c>
      <c r="Q24" s="5">
        <v>5150</v>
      </c>
      <c r="R24" s="5" t="s">
        <v>53</v>
      </c>
      <c r="S24" s="5" t="s">
        <v>42</v>
      </c>
      <c r="T24" s="5" t="s">
        <v>43</v>
      </c>
      <c r="U24" s="5">
        <v>4.8600000000000003</v>
      </c>
      <c r="V24" s="5">
        <v>371.26</v>
      </c>
      <c r="W24" s="5">
        <v>9</v>
      </c>
      <c r="X24" s="5">
        <v>1</v>
      </c>
      <c r="Y24" s="5">
        <v>399.96999999999997</v>
      </c>
      <c r="Z24" s="5">
        <v>4750.03</v>
      </c>
      <c r="AA24" s="5">
        <v>0.92233592233009698</v>
      </c>
      <c r="AB24" s="6">
        <v>259.2</v>
      </c>
    </row>
    <row r="25" spans="1:28" x14ac:dyDescent="0.4">
      <c r="A25" s="4" t="s">
        <v>76</v>
      </c>
      <c r="B25" s="5" t="s">
        <v>55</v>
      </c>
      <c r="C25" s="5" t="s">
        <v>35</v>
      </c>
      <c r="D25" s="5" t="s">
        <v>45</v>
      </c>
      <c r="E25" s="5" t="s">
        <v>46</v>
      </c>
      <c r="F25" s="5">
        <v>367</v>
      </c>
      <c r="G25" s="5">
        <v>58</v>
      </c>
      <c r="H25" s="5">
        <v>2</v>
      </c>
      <c r="I25" s="5">
        <v>5.4000000000000003E-3</v>
      </c>
      <c r="J25" s="5" t="s">
        <v>59</v>
      </c>
      <c r="K25" s="5">
        <v>84.96</v>
      </c>
      <c r="L25" s="5">
        <v>42</v>
      </c>
      <c r="M25" s="5">
        <v>0.11</v>
      </c>
      <c r="N25" s="5">
        <v>27</v>
      </c>
      <c r="O25" s="5">
        <v>85</v>
      </c>
      <c r="P25" s="5">
        <v>449</v>
      </c>
      <c r="Q25" s="5">
        <v>6541.33</v>
      </c>
      <c r="R25" s="5" t="s">
        <v>53</v>
      </c>
      <c r="S25" s="5" t="s">
        <v>56</v>
      </c>
      <c r="T25" s="5" t="s">
        <v>43</v>
      </c>
      <c r="U25" s="5">
        <v>5.29</v>
      </c>
      <c r="V25" s="5">
        <v>553.41999999999996</v>
      </c>
      <c r="W25" s="5">
        <v>8</v>
      </c>
      <c r="X25" s="5">
        <v>3</v>
      </c>
      <c r="Y25" s="5">
        <v>616.70999999999992</v>
      </c>
      <c r="Z25" s="5">
        <v>5924.62</v>
      </c>
      <c r="AA25" s="5">
        <v>0.90572100780728104</v>
      </c>
      <c r="AB25" s="6">
        <v>3568.3199999999997</v>
      </c>
    </row>
    <row r="26" spans="1:28" x14ac:dyDescent="0.4">
      <c r="A26" s="4" t="s">
        <v>77</v>
      </c>
      <c r="B26" s="5" t="s">
        <v>34</v>
      </c>
      <c r="C26" s="5" t="s">
        <v>35</v>
      </c>
      <c r="D26" s="5" t="s">
        <v>61</v>
      </c>
      <c r="E26" s="5" t="s">
        <v>46</v>
      </c>
      <c r="F26" s="5">
        <v>671</v>
      </c>
      <c r="G26" s="5">
        <v>45.53</v>
      </c>
      <c r="H26" s="5">
        <v>19</v>
      </c>
      <c r="I26" s="5">
        <v>3.8100000000000002E-2</v>
      </c>
      <c r="J26" s="5" t="s">
        <v>40</v>
      </c>
      <c r="K26" s="5">
        <v>9.81</v>
      </c>
      <c r="L26" s="5">
        <v>18</v>
      </c>
      <c r="M26" s="5">
        <v>0.34</v>
      </c>
      <c r="N26" s="5">
        <v>23</v>
      </c>
      <c r="O26" s="5">
        <v>28</v>
      </c>
      <c r="P26" s="5">
        <v>963</v>
      </c>
      <c r="Q26" s="5">
        <v>7573.4</v>
      </c>
      <c r="R26" s="5" t="s">
        <v>47</v>
      </c>
      <c r="S26" s="5" t="s">
        <v>56</v>
      </c>
      <c r="T26" s="5" t="s">
        <v>32</v>
      </c>
      <c r="U26" s="5">
        <v>2.11</v>
      </c>
      <c r="V26" s="5">
        <v>403.81</v>
      </c>
      <c r="W26" s="5">
        <v>3</v>
      </c>
      <c r="X26" s="5">
        <v>26</v>
      </c>
      <c r="Y26" s="5">
        <v>451.45</v>
      </c>
      <c r="Z26" s="5">
        <v>7121.95</v>
      </c>
      <c r="AA26" s="5">
        <v>0.94039004938336801</v>
      </c>
      <c r="AB26" s="6">
        <v>176.58</v>
      </c>
    </row>
    <row r="27" spans="1:28" x14ac:dyDescent="0.4">
      <c r="A27" s="4" t="s">
        <v>78</v>
      </c>
      <c r="B27" s="5" t="s">
        <v>34</v>
      </c>
      <c r="C27" s="5" t="s">
        <v>35</v>
      </c>
      <c r="D27" s="5" t="s">
        <v>27</v>
      </c>
      <c r="E27" s="5" t="s">
        <v>39</v>
      </c>
      <c r="F27" s="5">
        <v>867</v>
      </c>
      <c r="G27" s="5">
        <v>34.340000000000003</v>
      </c>
      <c r="H27" s="5">
        <v>15</v>
      </c>
      <c r="I27" s="5">
        <v>2.6100000000000002E-2</v>
      </c>
      <c r="J27" s="5" t="s">
        <v>29</v>
      </c>
      <c r="K27" s="5">
        <v>23.4</v>
      </c>
      <c r="L27" s="5">
        <v>25</v>
      </c>
      <c r="M27" s="5">
        <v>0.05</v>
      </c>
      <c r="N27" s="5">
        <v>8</v>
      </c>
      <c r="O27" s="5">
        <v>21</v>
      </c>
      <c r="P27" s="5">
        <v>963</v>
      </c>
      <c r="Q27" s="5">
        <v>2438.34</v>
      </c>
      <c r="R27" s="5" t="s">
        <v>53</v>
      </c>
      <c r="S27" s="5" t="s">
        <v>42</v>
      </c>
      <c r="T27" s="5" t="s">
        <v>36</v>
      </c>
      <c r="U27" s="5">
        <v>1.53</v>
      </c>
      <c r="V27" s="5">
        <v>183.93</v>
      </c>
      <c r="W27" s="5">
        <v>9</v>
      </c>
      <c r="X27" s="5">
        <v>24</v>
      </c>
      <c r="Y27" s="5">
        <v>219.8</v>
      </c>
      <c r="Z27" s="5">
        <v>2218.54</v>
      </c>
      <c r="AA27" s="5">
        <v>0.90985670579164502</v>
      </c>
      <c r="AB27" s="6">
        <v>585</v>
      </c>
    </row>
    <row r="28" spans="1:28" x14ac:dyDescent="0.4">
      <c r="A28" s="4" t="s">
        <v>79</v>
      </c>
      <c r="B28" s="5" t="s">
        <v>55</v>
      </c>
      <c r="C28" s="5" t="s">
        <v>26</v>
      </c>
      <c r="D28" s="5" t="s">
        <v>38</v>
      </c>
      <c r="E28" s="5" t="s">
        <v>28</v>
      </c>
      <c r="F28" s="5">
        <v>841</v>
      </c>
      <c r="G28" s="5">
        <v>5.93</v>
      </c>
      <c r="H28" s="5">
        <v>12</v>
      </c>
      <c r="I28" s="5">
        <v>6.1000000000000004E-3</v>
      </c>
      <c r="J28" s="5" t="s">
        <v>29</v>
      </c>
      <c r="K28" s="5">
        <v>52.08</v>
      </c>
      <c r="L28" s="5">
        <v>69</v>
      </c>
      <c r="M28" s="5">
        <v>0.75</v>
      </c>
      <c r="N28" s="5">
        <v>1</v>
      </c>
      <c r="O28" s="5">
        <v>88</v>
      </c>
      <c r="P28" s="5">
        <v>705</v>
      </c>
      <c r="Q28" s="5">
        <v>9692.32</v>
      </c>
      <c r="R28" s="5" t="s">
        <v>47</v>
      </c>
      <c r="S28" s="5" t="s">
        <v>31</v>
      </c>
      <c r="T28" s="5" t="s">
        <v>32</v>
      </c>
      <c r="U28" s="5">
        <v>9.24</v>
      </c>
      <c r="V28" s="5">
        <v>339.67</v>
      </c>
      <c r="W28" s="5">
        <v>5</v>
      </c>
      <c r="X28" s="5">
        <v>10</v>
      </c>
      <c r="Y28" s="5">
        <v>354.84000000000003</v>
      </c>
      <c r="Z28" s="5">
        <v>9337.48</v>
      </c>
      <c r="AA28" s="5">
        <v>0.963389570298958</v>
      </c>
      <c r="AB28" s="6">
        <v>3593.52</v>
      </c>
    </row>
    <row r="29" spans="1:28" x14ac:dyDescent="0.4">
      <c r="A29" s="4" t="s">
        <v>80</v>
      </c>
      <c r="B29" s="5" t="s">
        <v>34</v>
      </c>
      <c r="C29" s="5" t="s">
        <v>35</v>
      </c>
      <c r="D29" s="5" t="s">
        <v>61</v>
      </c>
      <c r="E29" s="5" t="s">
        <v>39</v>
      </c>
      <c r="F29" s="5">
        <v>791</v>
      </c>
      <c r="G29" s="5">
        <v>9.01</v>
      </c>
      <c r="H29" s="5">
        <v>6</v>
      </c>
      <c r="I29" s="5">
        <v>1.4500000000000001E-2</v>
      </c>
      <c r="J29" s="5" t="s">
        <v>40</v>
      </c>
      <c r="K29" s="5">
        <v>19.13</v>
      </c>
      <c r="L29" s="5">
        <v>78</v>
      </c>
      <c r="M29" s="5">
        <v>0.26</v>
      </c>
      <c r="N29" s="5">
        <v>29</v>
      </c>
      <c r="O29" s="5">
        <v>34</v>
      </c>
      <c r="P29" s="5">
        <v>176</v>
      </c>
      <c r="Q29" s="5">
        <v>1912.47</v>
      </c>
      <c r="R29" s="5" t="s">
        <v>47</v>
      </c>
      <c r="S29" s="5" t="s">
        <v>31</v>
      </c>
      <c r="T29" s="5" t="s">
        <v>36</v>
      </c>
      <c r="U29" s="5">
        <v>5.56</v>
      </c>
      <c r="V29" s="5">
        <v>653.66999999999996</v>
      </c>
      <c r="W29" s="5">
        <v>3</v>
      </c>
      <c r="X29" s="5">
        <v>30</v>
      </c>
      <c r="Y29" s="5">
        <v>668.24</v>
      </c>
      <c r="Z29" s="5">
        <v>1244.23</v>
      </c>
      <c r="AA29" s="5">
        <v>0.65058798307947296</v>
      </c>
      <c r="AB29" s="6">
        <v>1492.1399999999999</v>
      </c>
    </row>
    <row r="30" spans="1:28" x14ac:dyDescent="0.4">
      <c r="A30" s="4" t="s">
        <v>81</v>
      </c>
      <c r="B30" s="5" t="s">
        <v>34</v>
      </c>
      <c r="C30" s="5" t="s">
        <v>35</v>
      </c>
      <c r="D30" s="5" t="s">
        <v>45</v>
      </c>
      <c r="E30" s="5" t="s">
        <v>39</v>
      </c>
      <c r="F30" s="5">
        <v>793</v>
      </c>
      <c r="G30" s="5">
        <v>88.18</v>
      </c>
      <c r="H30" s="5">
        <v>1</v>
      </c>
      <c r="I30" s="5">
        <v>4.2099999999999999E-2</v>
      </c>
      <c r="J30" s="5" t="s">
        <v>29</v>
      </c>
      <c r="K30" s="5">
        <v>80.540000000000006</v>
      </c>
      <c r="L30" s="5">
        <v>90</v>
      </c>
      <c r="M30" s="5">
        <v>0.97</v>
      </c>
      <c r="N30" s="5">
        <v>20</v>
      </c>
      <c r="O30" s="5">
        <v>39</v>
      </c>
      <c r="P30" s="5">
        <v>933</v>
      </c>
      <c r="Q30" s="5">
        <v>5724.96</v>
      </c>
      <c r="R30" s="5" t="s">
        <v>30</v>
      </c>
      <c r="S30" s="5" t="s">
        <v>42</v>
      </c>
      <c r="T30" s="5" t="s">
        <v>43</v>
      </c>
      <c r="U30" s="5">
        <v>7.23</v>
      </c>
      <c r="V30" s="5">
        <v>529.80999999999995</v>
      </c>
      <c r="W30" s="5">
        <v>8</v>
      </c>
      <c r="X30" s="5">
        <v>18</v>
      </c>
      <c r="Y30" s="5">
        <v>625.21999999999991</v>
      </c>
      <c r="Z30" s="5">
        <v>5099.74</v>
      </c>
      <c r="AA30" s="5">
        <v>0.89079050333976095</v>
      </c>
      <c r="AB30" s="6">
        <v>7248.6</v>
      </c>
    </row>
    <row r="31" spans="1:28" x14ac:dyDescent="0.4">
      <c r="A31" s="4" t="s">
        <v>82</v>
      </c>
      <c r="B31" s="5" t="s">
        <v>34</v>
      </c>
      <c r="C31" s="5" t="s">
        <v>35</v>
      </c>
      <c r="D31" s="5" t="s">
        <v>49</v>
      </c>
      <c r="E31" s="5" t="s">
        <v>67</v>
      </c>
      <c r="F31" s="5">
        <v>892</v>
      </c>
      <c r="G31" s="5">
        <v>95.33</v>
      </c>
      <c r="H31" s="5">
        <v>7</v>
      </c>
      <c r="I31" s="5">
        <v>5.0000000000000001E-4</v>
      </c>
      <c r="J31" s="5" t="s">
        <v>40</v>
      </c>
      <c r="K31" s="5">
        <v>99.11</v>
      </c>
      <c r="L31" s="5">
        <v>64</v>
      </c>
      <c r="M31" s="5">
        <v>0.35</v>
      </c>
      <c r="N31" s="5">
        <v>19</v>
      </c>
      <c r="O31" s="5">
        <v>38</v>
      </c>
      <c r="P31" s="5">
        <v>556</v>
      </c>
      <c r="Q31" s="5">
        <v>5521.21</v>
      </c>
      <c r="R31" s="5" t="s">
        <v>53</v>
      </c>
      <c r="S31" s="5" t="s">
        <v>42</v>
      </c>
      <c r="T31" s="5" t="s">
        <v>32</v>
      </c>
      <c r="U31" s="5">
        <v>5.77</v>
      </c>
      <c r="V31" s="5">
        <v>275.52</v>
      </c>
      <c r="W31" s="5">
        <v>8</v>
      </c>
      <c r="X31" s="5">
        <v>18</v>
      </c>
      <c r="Y31" s="5">
        <v>376.62</v>
      </c>
      <c r="Z31" s="5">
        <v>5144.59</v>
      </c>
      <c r="AA31" s="5">
        <v>0.93178669168533701</v>
      </c>
      <c r="AB31" s="6">
        <v>6343.04</v>
      </c>
    </row>
    <row r="32" spans="1:28" x14ac:dyDescent="0.4">
      <c r="A32" s="4" t="s">
        <v>83</v>
      </c>
      <c r="B32" s="5" t="s">
        <v>34</v>
      </c>
      <c r="C32" s="5" t="s">
        <v>35</v>
      </c>
      <c r="D32" s="5" t="s">
        <v>38</v>
      </c>
      <c r="E32" s="5" t="s">
        <v>50</v>
      </c>
      <c r="F32" s="5">
        <v>179</v>
      </c>
      <c r="G32" s="5">
        <v>96.42</v>
      </c>
      <c r="H32" s="5">
        <v>7</v>
      </c>
      <c r="I32" s="5">
        <v>4.9399999999999999E-2</v>
      </c>
      <c r="J32" s="5" t="s">
        <v>40</v>
      </c>
      <c r="K32" s="5">
        <v>46.53</v>
      </c>
      <c r="L32" s="5">
        <v>22</v>
      </c>
      <c r="M32" s="5">
        <v>0.98</v>
      </c>
      <c r="N32" s="5">
        <v>27</v>
      </c>
      <c r="O32" s="5">
        <v>57</v>
      </c>
      <c r="P32" s="5">
        <v>155</v>
      </c>
      <c r="Q32" s="5">
        <v>1839.61</v>
      </c>
      <c r="R32" s="5" t="s">
        <v>30</v>
      </c>
      <c r="S32" s="5" t="s">
        <v>42</v>
      </c>
      <c r="T32" s="5" t="s">
        <v>43</v>
      </c>
      <c r="U32" s="5">
        <v>7.53</v>
      </c>
      <c r="V32" s="5">
        <v>635.66</v>
      </c>
      <c r="W32" s="5">
        <v>4</v>
      </c>
      <c r="X32" s="5">
        <v>26</v>
      </c>
      <c r="Y32" s="5">
        <v>739.61</v>
      </c>
      <c r="Z32" s="5">
        <v>1100</v>
      </c>
      <c r="AA32" s="5">
        <v>0.59795282695788798</v>
      </c>
      <c r="AB32" s="6">
        <v>1023.6600000000001</v>
      </c>
    </row>
    <row r="33" spans="1:28" x14ac:dyDescent="0.4">
      <c r="A33" s="4" t="s">
        <v>84</v>
      </c>
      <c r="B33" s="5" t="s">
        <v>55</v>
      </c>
      <c r="C33" s="5" t="s">
        <v>35</v>
      </c>
      <c r="D33" s="5" t="s">
        <v>61</v>
      </c>
      <c r="E33" s="5" t="s">
        <v>46</v>
      </c>
      <c r="F33" s="5">
        <v>834</v>
      </c>
      <c r="G33" s="5">
        <v>22.55</v>
      </c>
      <c r="H33" s="5">
        <v>18</v>
      </c>
      <c r="I33" s="5">
        <v>2.9600000000000001E-2</v>
      </c>
      <c r="J33" s="5" t="s">
        <v>40</v>
      </c>
      <c r="K33" s="5">
        <v>51.36</v>
      </c>
      <c r="L33" s="5">
        <v>13</v>
      </c>
      <c r="M33" s="5">
        <v>0.34</v>
      </c>
      <c r="N33" s="5">
        <v>19</v>
      </c>
      <c r="O33" s="5">
        <v>72</v>
      </c>
      <c r="P33" s="5">
        <v>919</v>
      </c>
      <c r="Q33" s="5">
        <v>7152.29</v>
      </c>
      <c r="R33" s="5" t="s">
        <v>41</v>
      </c>
      <c r="S33" s="5" t="s">
        <v>42</v>
      </c>
      <c r="T33" s="5" t="s">
        <v>43</v>
      </c>
      <c r="U33" s="5">
        <v>7.58</v>
      </c>
      <c r="V33" s="5">
        <v>610.45000000000005</v>
      </c>
      <c r="W33" s="5">
        <v>6</v>
      </c>
      <c r="X33" s="5">
        <v>7</v>
      </c>
      <c r="Y33" s="5">
        <v>640.58000000000004</v>
      </c>
      <c r="Z33" s="5">
        <v>6511.71</v>
      </c>
      <c r="AA33" s="5">
        <v>0.91043707679638297</v>
      </c>
      <c r="AB33" s="6">
        <v>667.68</v>
      </c>
    </row>
    <row r="34" spans="1:28" x14ac:dyDescent="0.4">
      <c r="A34" s="4" t="s">
        <v>85</v>
      </c>
      <c r="B34" s="5" t="s">
        <v>25</v>
      </c>
      <c r="C34" s="5" t="s">
        <v>52</v>
      </c>
      <c r="D34" s="5" t="s">
        <v>61</v>
      </c>
      <c r="E34" s="5" t="s">
        <v>67</v>
      </c>
      <c r="F34" s="5">
        <v>794</v>
      </c>
      <c r="G34" s="5">
        <v>66.31</v>
      </c>
      <c r="H34" s="5">
        <v>25</v>
      </c>
      <c r="I34" s="5">
        <v>3.2199999999999999E-2</v>
      </c>
      <c r="J34" s="5" t="s">
        <v>59</v>
      </c>
      <c r="K34" s="5">
        <v>33.78</v>
      </c>
      <c r="L34" s="5">
        <v>93</v>
      </c>
      <c r="M34" s="5">
        <v>0.01</v>
      </c>
      <c r="N34" s="5">
        <v>7</v>
      </c>
      <c r="O34" s="5">
        <v>52</v>
      </c>
      <c r="P34" s="5">
        <v>24</v>
      </c>
      <c r="Q34" s="5">
        <v>5267.96</v>
      </c>
      <c r="R34" s="5" t="s">
        <v>41</v>
      </c>
      <c r="S34" s="5" t="s">
        <v>42</v>
      </c>
      <c r="T34" s="5" t="s">
        <v>32</v>
      </c>
      <c r="U34" s="5">
        <v>5.22</v>
      </c>
      <c r="V34" s="5">
        <v>495.31</v>
      </c>
      <c r="W34" s="5">
        <v>6</v>
      </c>
      <c r="X34" s="5">
        <v>25</v>
      </c>
      <c r="Y34" s="5">
        <v>566.84</v>
      </c>
      <c r="Z34" s="5">
        <v>4701.12</v>
      </c>
      <c r="AA34" s="5">
        <v>0.89239857553967805</v>
      </c>
      <c r="AB34" s="6">
        <v>3141.54</v>
      </c>
    </row>
    <row r="35" spans="1:28" x14ac:dyDescent="0.4">
      <c r="A35" s="4" t="s">
        <v>86</v>
      </c>
      <c r="B35" s="5" t="s">
        <v>25</v>
      </c>
      <c r="C35" s="5" t="s">
        <v>26</v>
      </c>
      <c r="D35" s="5" t="s">
        <v>27</v>
      </c>
      <c r="E35" s="5" t="s">
        <v>67</v>
      </c>
      <c r="F35" s="5">
        <v>870</v>
      </c>
      <c r="G35" s="5">
        <v>77.319999999999993</v>
      </c>
      <c r="H35" s="5">
        <v>23</v>
      </c>
      <c r="I35" s="5">
        <v>3.6499999999999998E-2</v>
      </c>
      <c r="J35" s="5" t="s">
        <v>29</v>
      </c>
      <c r="K35" s="5">
        <v>27.08</v>
      </c>
      <c r="L35" s="5">
        <v>92</v>
      </c>
      <c r="M35" s="5">
        <v>0.75</v>
      </c>
      <c r="N35" s="5">
        <v>29</v>
      </c>
      <c r="O35" s="5">
        <v>6</v>
      </c>
      <c r="P35" s="5">
        <v>859</v>
      </c>
      <c r="Q35" s="5">
        <v>2556.77</v>
      </c>
      <c r="R35" s="5" t="s">
        <v>30</v>
      </c>
      <c r="S35" s="5" t="s">
        <v>31</v>
      </c>
      <c r="T35" s="5" t="s">
        <v>32</v>
      </c>
      <c r="U35" s="5">
        <v>4.07</v>
      </c>
      <c r="V35" s="5">
        <v>380.44</v>
      </c>
      <c r="W35" s="5">
        <v>8</v>
      </c>
      <c r="X35" s="5">
        <v>18</v>
      </c>
      <c r="Y35" s="5">
        <v>461.83</v>
      </c>
      <c r="Z35" s="5">
        <v>2094.94</v>
      </c>
      <c r="AA35" s="5">
        <v>0.81936975167887605</v>
      </c>
      <c r="AB35" s="6">
        <v>2491.3599999999997</v>
      </c>
    </row>
    <row r="36" spans="1:28" x14ac:dyDescent="0.4">
      <c r="A36" s="4" t="s">
        <v>87</v>
      </c>
      <c r="B36" s="5" t="s">
        <v>34</v>
      </c>
      <c r="C36" s="5" t="s">
        <v>52</v>
      </c>
      <c r="D36" s="5" t="s">
        <v>45</v>
      </c>
      <c r="E36" s="5" t="s">
        <v>39</v>
      </c>
      <c r="F36" s="5">
        <v>964</v>
      </c>
      <c r="G36" s="5">
        <v>19.71</v>
      </c>
      <c r="H36" s="5">
        <v>20</v>
      </c>
      <c r="I36" s="5">
        <v>3.8E-3</v>
      </c>
      <c r="J36" s="5" t="s">
        <v>29</v>
      </c>
      <c r="K36" s="5">
        <v>95.71</v>
      </c>
      <c r="L36" s="5">
        <v>4</v>
      </c>
      <c r="M36" s="5">
        <v>0.93</v>
      </c>
      <c r="N36" s="5">
        <v>15</v>
      </c>
      <c r="O36" s="5">
        <v>51</v>
      </c>
      <c r="P36" s="5">
        <v>910</v>
      </c>
      <c r="Q36" s="5">
        <v>7089.47</v>
      </c>
      <c r="R36" s="5" t="s">
        <v>41</v>
      </c>
      <c r="S36" s="5" t="s">
        <v>42</v>
      </c>
      <c r="T36" s="5" t="s">
        <v>32</v>
      </c>
      <c r="U36" s="5">
        <v>8.98</v>
      </c>
      <c r="V36" s="5">
        <v>581.6</v>
      </c>
      <c r="W36" s="5">
        <v>9</v>
      </c>
      <c r="X36" s="5">
        <v>10</v>
      </c>
      <c r="Y36" s="5">
        <v>610.29000000000008</v>
      </c>
      <c r="Z36" s="5">
        <v>6479.18</v>
      </c>
      <c r="AA36" s="5">
        <v>0.91391599089917896</v>
      </c>
      <c r="AB36" s="6">
        <v>382.84</v>
      </c>
    </row>
    <row r="37" spans="1:28" x14ac:dyDescent="0.4">
      <c r="A37" s="4" t="s">
        <v>88</v>
      </c>
      <c r="B37" s="5" t="s">
        <v>25</v>
      </c>
      <c r="C37" s="5" t="s">
        <v>26</v>
      </c>
      <c r="D37" s="5" t="s">
        <v>61</v>
      </c>
      <c r="E37" s="5" t="s">
        <v>28</v>
      </c>
      <c r="F37" s="5">
        <v>109</v>
      </c>
      <c r="G37" s="5">
        <v>23.13</v>
      </c>
      <c r="H37" s="5">
        <v>18</v>
      </c>
      <c r="I37" s="5">
        <v>1.7000000000000001E-2</v>
      </c>
      <c r="J37" s="5" t="s">
        <v>40</v>
      </c>
      <c r="K37" s="5">
        <v>76.040000000000006</v>
      </c>
      <c r="L37" s="5">
        <v>30</v>
      </c>
      <c r="M37" s="5">
        <v>0.28000000000000003</v>
      </c>
      <c r="N37" s="5">
        <v>16</v>
      </c>
      <c r="O37" s="5">
        <v>9</v>
      </c>
      <c r="P37" s="5">
        <v>29</v>
      </c>
      <c r="Q37" s="5">
        <v>7397.07</v>
      </c>
      <c r="R37" s="5" t="s">
        <v>41</v>
      </c>
      <c r="S37" s="5" t="s">
        <v>31</v>
      </c>
      <c r="T37" s="5" t="s">
        <v>43</v>
      </c>
      <c r="U37" s="5">
        <v>7.1</v>
      </c>
      <c r="V37" s="5">
        <v>768.65</v>
      </c>
      <c r="W37" s="5">
        <v>3</v>
      </c>
      <c r="X37" s="5">
        <v>9</v>
      </c>
      <c r="Y37" s="5">
        <v>798.88</v>
      </c>
      <c r="Z37" s="5">
        <v>6598.19</v>
      </c>
      <c r="AA37" s="5">
        <v>0.892000481271639</v>
      </c>
      <c r="AB37" s="6">
        <v>2281.2000000000003</v>
      </c>
    </row>
    <row r="38" spans="1:28" x14ac:dyDescent="0.4">
      <c r="A38" s="4" t="s">
        <v>89</v>
      </c>
      <c r="B38" s="5" t="s">
        <v>55</v>
      </c>
      <c r="C38" s="5" t="s">
        <v>35</v>
      </c>
      <c r="D38" s="5" t="s">
        <v>61</v>
      </c>
      <c r="E38" s="5" t="s">
        <v>46</v>
      </c>
      <c r="F38" s="5">
        <v>306</v>
      </c>
      <c r="G38" s="5">
        <v>45.18</v>
      </c>
      <c r="H38" s="5">
        <v>21</v>
      </c>
      <c r="I38" s="5">
        <v>4.7500000000000001E-2</v>
      </c>
      <c r="J38" s="5" t="s">
        <v>40</v>
      </c>
      <c r="K38" s="5">
        <v>14.2</v>
      </c>
      <c r="L38" s="5">
        <v>31</v>
      </c>
      <c r="M38" s="5">
        <v>0.91</v>
      </c>
      <c r="N38" s="5">
        <v>23</v>
      </c>
      <c r="O38" s="5">
        <v>82</v>
      </c>
      <c r="P38" s="5">
        <v>633</v>
      </c>
      <c r="Q38" s="5">
        <v>5910.89</v>
      </c>
      <c r="R38" s="5" t="s">
        <v>41</v>
      </c>
      <c r="S38" s="5" t="s">
        <v>31</v>
      </c>
      <c r="T38" s="5" t="s">
        <v>36</v>
      </c>
      <c r="U38" s="5">
        <v>6.25</v>
      </c>
      <c r="V38" s="5">
        <v>496.25</v>
      </c>
      <c r="W38" s="5">
        <v>10</v>
      </c>
      <c r="X38" s="5">
        <v>20</v>
      </c>
      <c r="Y38" s="5">
        <v>547.67999999999995</v>
      </c>
      <c r="Z38" s="5">
        <v>5363.21</v>
      </c>
      <c r="AA38" s="5">
        <v>0.90734390252567698</v>
      </c>
      <c r="AB38" s="6">
        <v>440.2</v>
      </c>
    </row>
    <row r="39" spans="1:28" x14ac:dyDescent="0.4">
      <c r="A39" s="4" t="s">
        <v>90</v>
      </c>
      <c r="B39" s="5" t="s">
        <v>25</v>
      </c>
      <c r="C39" s="5" t="s">
        <v>52</v>
      </c>
      <c r="D39" s="5" t="s">
        <v>38</v>
      </c>
      <c r="E39" s="5" t="s">
        <v>50</v>
      </c>
      <c r="F39" s="5">
        <v>673</v>
      </c>
      <c r="G39" s="5">
        <v>14.19</v>
      </c>
      <c r="H39" s="5">
        <v>28</v>
      </c>
      <c r="I39" s="5">
        <v>1.77E-2</v>
      </c>
      <c r="J39" s="5" t="s">
        <v>29</v>
      </c>
      <c r="K39" s="5">
        <v>26.7</v>
      </c>
      <c r="L39" s="5">
        <v>100</v>
      </c>
      <c r="M39" s="5">
        <v>0.61</v>
      </c>
      <c r="N39" s="5">
        <v>4</v>
      </c>
      <c r="O39" s="5">
        <v>52</v>
      </c>
      <c r="P39" s="5">
        <v>154</v>
      </c>
      <c r="Q39" s="5">
        <v>9866.4699999999993</v>
      </c>
      <c r="R39" s="5" t="s">
        <v>30</v>
      </c>
      <c r="S39" s="5" t="s">
        <v>42</v>
      </c>
      <c r="T39" s="5" t="s">
        <v>36</v>
      </c>
      <c r="U39" s="5">
        <v>4.78</v>
      </c>
      <c r="V39" s="5">
        <v>694.98</v>
      </c>
      <c r="W39" s="5">
        <v>1</v>
      </c>
      <c r="X39" s="5">
        <v>18</v>
      </c>
      <c r="Y39" s="5">
        <v>713.95</v>
      </c>
      <c r="Z39" s="5">
        <v>9152.5199999999986</v>
      </c>
      <c r="AA39" s="5">
        <v>0.92763876036718296</v>
      </c>
      <c r="AB39" s="6">
        <v>2670</v>
      </c>
    </row>
    <row r="40" spans="1:28" x14ac:dyDescent="0.4">
      <c r="A40" s="4" t="s">
        <v>91</v>
      </c>
      <c r="B40" s="5" t="s">
        <v>34</v>
      </c>
      <c r="C40" s="5" t="s">
        <v>52</v>
      </c>
      <c r="D40" s="5" t="s">
        <v>45</v>
      </c>
      <c r="E40" s="5" t="s">
        <v>28</v>
      </c>
      <c r="F40" s="5">
        <v>727</v>
      </c>
      <c r="G40" s="5">
        <v>9.17</v>
      </c>
      <c r="H40" s="5">
        <v>27</v>
      </c>
      <c r="I40" s="5">
        <v>2.12E-2</v>
      </c>
      <c r="J40" s="5" t="s">
        <v>29</v>
      </c>
      <c r="K40" s="5">
        <v>98.03</v>
      </c>
      <c r="L40" s="5">
        <v>64</v>
      </c>
      <c r="M40" s="5">
        <v>0.01</v>
      </c>
      <c r="N40" s="5">
        <v>11</v>
      </c>
      <c r="O40" s="5">
        <v>11</v>
      </c>
      <c r="P40" s="5">
        <v>820</v>
      </c>
      <c r="Q40" s="5">
        <v>9435.76</v>
      </c>
      <c r="R40" s="5" t="s">
        <v>47</v>
      </c>
      <c r="S40" s="5" t="s">
        <v>56</v>
      </c>
      <c r="T40" s="5" t="s">
        <v>32</v>
      </c>
      <c r="U40" s="5">
        <v>8.6300000000000008</v>
      </c>
      <c r="V40" s="5">
        <v>602.9</v>
      </c>
      <c r="W40" s="5">
        <v>1</v>
      </c>
      <c r="X40" s="5">
        <v>10</v>
      </c>
      <c r="Y40" s="5">
        <v>620.69999999999993</v>
      </c>
      <c r="Z40" s="5">
        <v>8815.06</v>
      </c>
      <c r="AA40" s="5">
        <v>0.93421833535401499</v>
      </c>
      <c r="AB40" s="6">
        <v>6273.92</v>
      </c>
    </row>
    <row r="41" spans="1:28" x14ac:dyDescent="0.4">
      <c r="A41" s="4" t="s">
        <v>92</v>
      </c>
      <c r="B41" s="5" t="s">
        <v>34</v>
      </c>
      <c r="C41" s="5" t="s">
        <v>52</v>
      </c>
      <c r="D41" s="5" t="s">
        <v>45</v>
      </c>
      <c r="E41" s="5" t="s">
        <v>46</v>
      </c>
      <c r="F41" s="5">
        <v>631</v>
      </c>
      <c r="G41" s="5">
        <v>83.34</v>
      </c>
      <c r="H41" s="5">
        <v>17</v>
      </c>
      <c r="I41" s="5">
        <v>1.41E-2</v>
      </c>
      <c r="J41" s="5" t="s">
        <v>29</v>
      </c>
      <c r="K41" s="5">
        <v>30.34</v>
      </c>
      <c r="L41" s="5">
        <v>96</v>
      </c>
      <c r="M41" s="5">
        <v>0.93</v>
      </c>
      <c r="N41" s="5">
        <v>25</v>
      </c>
      <c r="O41" s="5">
        <v>54</v>
      </c>
      <c r="P41" s="5">
        <v>242</v>
      </c>
      <c r="Q41" s="5">
        <v>8232.33</v>
      </c>
      <c r="R41" s="5" t="s">
        <v>47</v>
      </c>
      <c r="S41" s="5" t="s">
        <v>31</v>
      </c>
      <c r="T41" s="5" t="s">
        <v>32</v>
      </c>
      <c r="U41" s="5">
        <v>1.01</v>
      </c>
      <c r="V41" s="5">
        <v>750.74</v>
      </c>
      <c r="W41" s="5">
        <v>3</v>
      </c>
      <c r="X41" s="5">
        <v>1</v>
      </c>
      <c r="Y41" s="5">
        <v>835.09</v>
      </c>
      <c r="Z41" s="5">
        <v>7397.24</v>
      </c>
      <c r="AA41" s="5">
        <v>0.89855970302453902</v>
      </c>
      <c r="AB41" s="6">
        <v>2912.64</v>
      </c>
    </row>
    <row r="42" spans="1:28" x14ac:dyDescent="0.4">
      <c r="A42" s="4" t="s">
        <v>93</v>
      </c>
      <c r="B42" s="5" t="s">
        <v>25</v>
      </c>
      <c r="C42" s="5" t="s">
        <v>26</v>
      </c>
      <c r="D42" s="5" t="s">
        <v>45</v>
      </c>
      <c r="E42" s="5" t="s">
        <v>39</v>
      </c>
      <c r="F42" s="5">
        <v>497</v>
      </c>
      <c r="G42" s="5">
        <v>30.19</v>
      </c>
      <c r="H42" s="5">
        <v>29</v>
      </c>
      <c r="I42" s="5">
        <v>2.4799999999999999E-2</v>
      </c>
      <c r="J42" s="5" t="s">
        <v>59</v>
      </c>
      <c r="K42" s="5">
        <v>31.15</v>
      </c>
      <c r="L42" s="5">
        <v>33</v>
      </c>
      <c r="M42" s="5">
        <v>0.11</v>
      </c>
      <c r="N42" s="5">
        <v>22</v>
      </c>
      <c r="O42" s="5">
        <v>61</v>
      </c>
      <c r="P42" s="5">
        <v>622</v>
      </c>
      <c r="Q42" s="5">
        <v>6088.02</v>
      </c>
      <c r="R42" s="5" t="s">
        <v>30</v>
      </c>
      <c r="S42" s="5" t="s">
        <v>31</v>
      </c>
      <c r="T42" s="5" t="s">
        <v>32</v>
      </c>
      <c r="U42" s="5">
        <v>4.3099999999999996</v>
      </c>
      <c r="V42" s="5">
        <v>814.07</v>
      </c>
      <c r="W42" s="5">
        <v>3</v>
      </c>
      <c r="X42" s="5">
        <v>26</v>
      </c>
      <c r="Y42" s="5">
        <v>848.57</v>
      </c>
      <c r="Z42" s="5">
        <v>5239.4500000000007</v>
      </c>
      <c r="AA42" s="5">
        <v>0.86061642373054004</v>
      </c>
      <c r="AB42" s="6">
        <v>1027.95</v>
      </c>
    </row>
    <row r="43" spans="1:28" x14ac:dyDescent="0.4">
      <c r="A43" s="4" t="s">
        <v>94</v>
      </c>
      <c r="B43" s="5" t="s">
        <v>25</v>
      </c>
      <c r="C43" s="5" t="s">
        <v>52</v>
      </c>
      <c r="D43" s="5" t="s">
        <v>61</v>
      </c>
      <c r="E43" s="5" t="s">
        <v>46</v>
      </c>
      <c r="F43" s="5">
        <v>918</v>
      </c>
      <c r="G43" s="5">
        <v>30.32</v>
      </c>
      <c r="H43" s="5">
        <v>5</v>
      </c>
      <c r="I43" s="5">
        <v>4.5499999999999999E-2</v>
      </c>
      <c r="J43" s="5" t="s">
        <v>40</v>
      </c>
      <c r="K43" s="5">
        <v>79.86</v>
      </c>
      <c r="L43" s="5">
        <v>97</v>
      </c>
      <c r="M43" s="5">
        <v>0.16</v>
      </c>
      <c r="N43" s="5">
        <v>11</v>
      </c>
      <c r="O43" s="5">
        <v>11</v>
      </c>
      <c r="P43" s="5">
        <v>701</v>
      </c>
      <c r="Q43" s="5">
        <v>2925.68</v>
      </c>
      <c r="R43" s="5" t="s">
        <v>53</v>
      </c>
      <c r="S43" s="5" t="s">
        <v>31</v>
      </c>
      <c r="T43" s="5" t="s">
        <v>36</v>
      </c>
      <c r="U43" s="5">
        <v>5.01</v>
      </c>
      <c r="V43" s="5">
        <v>323.01</v>
      </c>
      <c r="W43" s="5">
        <v>5</v>
      </c>
      <c r="X43" s="5">
        <v>27</v>
      </c>
      <c r="Y43" s="5">
        <v>358.34</v>
      </c>
      <c r="Z43" s="5">
        <v>2567.3399999999997</v>
      </c>
      <c r="AA43" s="5">
        <v>0.87751907248913097</v>
      </c>
      <c r="AB43" s="6">
        <v>7746.42</v>
      </c>
    </row>
    <row r="44" spans="1:28" x14ac:dyDescent="0.4">
      <c r="A44" s="4" t="s">
        <v>95</v>
      </c>
      <c r="B44" s="5" t="s">
        <v>34</v>
      </c>
      <c r="C44" s="5" t="s">
        <v>26</v>
      </c>
      <c r="D44" s="5" t="s">
        <v>45</v>
      </c>
      <c r="E44" s="5" t="s">
        <v>28</v>
      </c>
      <c r="F44" s="5">
        <v>826</v>
      </c>
      <c r="G44" s="5">
        <v>12.84</v>
      </c>
      <c r="H44" s="5">
        <v>28</v>
      </c>
      <c r="I44" s="5">
        <v>1.17E-2</v>
      </c>
      <c r="J44" s="5" t="s">
        <v>59</v>
      </c>
      <c r="K44" s="5">
        <v>20.99</v>
      </c>
      <c r="L44" s="5">
        <v>25</v>
      </c>
      <c r="M44" s="5">
        <v>0.9</v>
      </c>
      <c r="N44" s="5">
        <v>23</v>
      </c>
      <c r="O44" s="5">
        <v>83</v>
      </c>
      <c r="P44" s="5">
        <v>93</v>
      </c>
      <c r="Q44" s="5">
        <v>4767.0200000000004</v>
      </c>
      <c r="R44" s="5" t="s">
        <v>47</v>
      </c>
      <c r="S44" s="5" t="s">
        <v>31</v>
      </c>
      <c r="T44" s="5" t="s">
        <v>43</v>
      </c>
      <c r="U44" s="5">
        <v>1.77</v>
      </c>
      <c r="V44" s="5">
        <v>832.21</v>
      </c>
      <c r="W44" s="5">
        <v>5</v>
      </c>
      <c r="X44" s="5">
        <v>24</v>
      </c>
      <c r="Y44" s="5">
        <v>846.82</v>
      </c>
      <c r="Z44" s="5">
        <v>3920.2000000000003</v>
      </c>
      <c r="AA44" s="5">
        <v>0.82235862236785195</v>
      </c>
      <c r="AB44" s="6">
        <v>524.75</v>
      </c>
    </row>
    <row r="45" spans="1:28" x14ac:dyDescent="0.4">
      <c r="A45" s="4" t="s">
        <v>96</v>
      </c>
      <c r="B45" s="5" t="s">
        <v>34</v>
      </c>
      <c r="C45" s="5" t="s">
        <v>26</v>
      </c>
      <c r="D45" s="5" t="s">
        <v>27</v>
      </c>
      <c r="E45" s="5" t="s">
        <v>46</v>
      </c>
      <c r="F45" s="5">
        <v>396</v>
      </c>
      <c r="G45" s="5">
        <v>65.05</v>
      </c>
      <c r="H45" s="5">
        <v>7</v>
      </c>
      <c r="I45" s="5">
        <v>1.7299999999999999E-2</v>
      </c>
      <c r="J45" s="5" t="s">
        <v>40</v>
      </c>
      <c r="K45" s="5">
        <v>59.84</v>
      </c>
      <c r="L45" s="5">
        <v>10</v>
      </c>
      <c r="M45" s="5">
        <v>0.81</v>
      </c>
      <c r="N45" s="5">
        <v>5</v>
      </c>
      <c r="O45" s="5">
        <v>44</v>
      </c>
      <c r="P45" s="5">
        <v>896</v>
      </c>
      <c r="Q45" s="5">
        <v>2021.15</v>
      </c>
      <c r="R45" s="5" t="s">
        <v>30</v>
      </c>
      <c r="S45" s="5" t="s">
        <v>31</v>
      </c>
      <c r="T45" s="5" t="s">
        <v>36</v>
      </c>
      <c r="U45" s="5">
        <v>4.9400000000000004</v>
      </c>
      <c r="V45" s="5">
        <v>110.36</v>
      </c>
      <c r="W45" s="5">
        <v>7</v>
      </c>
      <c r="X45" s="5">
        <v>18</v>
      </c>
      <c r="Y45" s="5">
        <v>180.35</v>
      </c>
      <c r="Z45" s="5">
        <v>1840.8000000000002</v>
      </c>
      <c r="AA45" s="5">
        <v>0.91076862182420903</v>
      </c>
      <c r="AB45" s="6">
        <v>598.40000000000009</v>
      </c>
    </row>
    <row r="46" spans="1:28" x14ac:dyDescent="0.4">
      <c r="A46" s="4" t="s">
        <v>97</v>
      </c>
      <c r="B46" s="5" t="s">
        <v>55</v>
      </c>
      <c r="C46" s="5" t="s">
        <v>26</v>
      </c>
      <c r="D46" s="5" t="s">
        <v>45</v>
      </c>
      <c r="E46" s="5" t="s">
        <v>39</v>
      </c>
      <c r="F46" s="5">
        <v>176</v>
      </c>
      <c r="G46" s="5">
        <v>1.9</v>
      </c>
      <c r="H46" s="5">
        <v>4</v>
      </c>
      <c r="I46" s="5">
        <v>4.4999999999999997E-3</v>
      </c>
      <c r="J46" s="5" t="s">
        <v>40</v>
      </c>
      <c r="K46" s="5">
        <v>63.83</v>
      </c>
      <c r="L46" s="5">
        <v>100</v>
      </c>
      <c r="M46" s="5">
        <v>0.3</v>
      </c>
      <c r="N46" s="5">
        <v>16</v>
      </c>
      <c r="O46" s="5">
        <v>26</v>
      </c>
      <c r="P46" s="5">
        <v>484</v>
      </c>
      <c r="Q46" s="5">
        <v>1061.6199999999999</v>
      </c>
      <c r="R46" s="5" t="s">
        <v>47</v>
      </c>
      <c r="S46" s="5" t="s">
        <v>42</v>
      </c>
      <c r="T46" s="5" t="s">
        <v>32</v>
      </c>
      <c r="U46" s="5">
        <v>7.29</v>
      </c>
      <c r="V46" s="5">
        <v>312.57</v>
      </c>
      <c r="W46" s="5">
        <v>7</v>
      </c>
      <c r="X46" s="5">
        <v>11</v>
      </c>
      <c r="Y46" s="5">
        <v>321.76</v>
      </c>
      <c r="Z46" s="5">
        <v>739.8599999999999</v>
      </c>
      <c r="AA46" s="5">
        <v>0.69691603398579505</v>
      </c>
      <c r="AB46" s="6">
        <v>6383</v>
      </c>
    </row>
    <row r="47" spans="1:28" x14ac:dyDescent="0.4">
      <c r="A47" s="4" t="s">
        <v>98</v>
      </c>
      <c r="B47" s="5" t="s">
        <v>34</v>
      </c>
      <c r="C47" s="5" t="s">
        <v>35</v>
      </c>
      <c r="D47" s="5" t="s">
        <v>49</v>
      </c>
      <c r="E47" s="5" t="s">
        <v>28</v>
      </c>
      <c r="F47" s="5">
        <v>929</v>
      </c>
      <c r="G47" s="5">
        <v>87.21</v>
      </c>
      <c r="H47" s="5">
        <v>24</v>
      </c>
      <c r="I47" s="5">
        <v>2.8500000000000001E-2</v>
      </c>
      <c r="J47" s="5" t="s">
        <v>40</v>
      </c>
      <c r="K47" s="5">
        <v>17.03</v>
      </c>
      <c r="L47" s="5">
        <v>41</v>
      </c>
      <c r="M47" s="5">
        <v>0.16</v>
      </c>
      <c r="N47" s="5">
        <v>27</v>
      </c>
      <c r="O47" s="5">
        <v>72</v>
      </c>
      <c r="P47" s="5">
        <v>380</v>
      </c>
      <c r="Q47" s="5">
        <v>8864.08</v>
      </c>
      <c r="R47" s="5" t="s">
        <v>41</v>
      </c>
      <c r="S47" s="5" t="s">
        <v>42</v>
      </c>
      <c r="T47" s="5" t="s">
        <v>43</v>
      </c>
      <c r="U47" s="5">
        <v>4.38</v>
      </c>
      <c r="V47" s="5">
        <v>430.17</v>
      </c>
      <c r="W47" s="5">
        <v>8</v>
      </c>
      <c r="X47" s="5">
        <v>29</v>
      </c>
      <c r="Y47" s="5">
        <v>521.76</v>
      </c>
      <c r="Z47" s="5">
        <v>8342.32</v>
      </c>
      <c r="AA47" s="5">
        <v>0.94113771536358004</v>
      </c>
      <c r="AB47" s="6">
        <v>698.23</v>
      </c>
    </row>
    <row r="48" spans="1:28" x14ac:dyDescent="0.4">
      <c r="A48" s="4" t="s">
        <v>99</v>
      </c>
      <c r="B48" s="5" t="s">
        <v>34</v>
      </c>
      <c r="C48" s="5" t="s">
        <v>26</v>
      </c>
      <c r="D48" s="5" t="s">
        <v>27</v>
      </c>
      <c r="E48" s="5" t="s">
        <v>50</v>
      </c>
      <c r="F48" s="5">
        <v>736</v>
      </c>
      <c r="G48" s="5">
        <v>20.079999999999998</v>
      </c>
      <c r="H48" s="5">
        <v>10</v>
      </c>
      <c r="I48" s="5">
        <v>3.6299999999999999E-2</v>
      </c>
      <c r="J48" s="5" t="s">
        <v>29</v>
      </c>
      <c r="K48" s="5">
        <v>13.02</v>
      </c>
      <c r="L48" s="5">
        <v>54</v>
      </c>
      <c r="M48" s="5">
        <v>0.55000000000000004</v>
      </c>
      <c r="N48" s="5">
        <v>19</v>
      </c>
      <c r="O48" s="5">
        <v>10</v>
      </c>
      <c r="P48" s="5">
        <v>246</v>
      </c>
      <c r="Q48" s="5">
        <v>4256.95</v>
      </c>
      <c r="R48" s="5" t="s">
        <v>53</v>
      </c>
      <c r="S48" s="5" t="s">
        <v>42</v>
      </c>
      <c r="T48" s="5" t="s">
        <v>36</v>
      </c>
      <c r="U48" s="5">
        <v>2.46</v>
      </c>
      <c r="V48" s="5">
        <v>687.29</v>
      </c>
      <c r="W48" s="5">
        <v>4</v>
      </c>
      <c r="X48" s="5">
        <v>18</v>
      </c>
      <c r="Y48" s="5">
        <v>709.82999999999993</v>
      </c>
      <c r="Z48" s="5">
        <v>3547.12</v>
      </c>
      <c r="AA48" s="5">
        <v>0.83325385545989505</v>
      </c>
      <c r="AB48" s="6">
        <v>703.07999999999993</v>
      </c>
    </row>
    <row r="49" spans="1:28" x14ac:dyDescent="0.4">
      <c r="A49" s="4" t="s">
        <v>100</v>
      </c>
      <c r="B49" s="5" t="s">
        <v>34</v>
      </c>
      <c r="C49" s="5" t="s">
        <v>35</v>
      </c>
      <c r="D49" s="5" t="s">
        <v>45</v>
      </c>
      <c r="E49" s="5" t="s">
        <v>46</v>
      </c>
      <c r="F49" s="5">
        <v>328</v>
      </c>
      <c r="G49" s="5">
        <v>8.69</v>
      </c>
      <c r="H49" s="5">
        <v>6</v>
      </c>
      <c r="I49" s="5">
        <v>1.6000000000000001E-3</v>
      </c>
      <c r="J49" s="5" t="s">
        <v>40</v>
      </c>
      <c r="K49" s="5">
        <v>89.63</v>
      </c>
      <c r="L49" s="5">
        <v>73</v>
      </c>
      <c r="M49" s="5">
        <v>0.11</v>
      </c>
      <c r="N49" s="5">
        <v>27</v>
      </c>
      <c r="O49" s="5">
        <v>75</v>
      </c>
      <c r="P49" s="5">
        <v>134</v>
      </c>
      <c r="Q49" s="5">
        <v>8458.73</v>
      </c>
      <c r="R49" s="5" t="s">
        <v>47</v>
      </c>
      <c r="S49" s="5" t="s">
        <v>56</v>
      </c>
      <c r="T49" s="5" t="s">
        <v>43</v>
      </c>
      <c r="U49" s="5">
        <v>4.59</v>
      </c>
      <c r="V49" s="5">
        <v>771.23</v>
      </c>
      <c r="W49" s="5">
        <v>6</v>
      </c>
      <c r="X49" s="5">
        <v>17</v>
      </c>
      <c r="Y49" s="5">
        <v>784.51</v>
      </c>
      <c r="Z49" s="5">
        <v>7674.2199999999993</v>
      </c>
      <c r="AA49" s="5">
        <v>0.90725439870997204</v>
      </c>
      <c r="AB49" s="6">
        <v>6542.99</v>
      </c>
    </row>
    <row r="50" spans="1:28" x14ac:dyDescent="0.4">
      <c r="A50" s="4" t="s">
        <v>101</v>
      </c>
      <c r="B50" s="5" t="s">
        <v>34</v>
      </c>
      <c r="C50" s="5" t="s">
        <v>52</v>
      </c>
      <c r="D50" s="5" t="s">
        <v>38</v>
      </c>
      <c r="E50" s="5" t="s">
        <v>39</v>
      </c>
      <c r="F50" s="5">
        <v>358</v>
      </c>
      <c r="G50" s="5">
        <v>1.6</v>
      </c>
      <c r="H50" s="5">
        <v>21</v>
      </c>
      <c r="I50" s="5">
        <v>4.9099999999999998E-2</v>
      </c>
      <c r="J50" s="5" t="s">
        <v>40</v>
      </c>
      <c r="K50" s="5">
        <v>33.700000000000003</v>
      </c>
      <c r="L50" s="5">
        <v>57</v>
      </c>
      <c r="M50" s="5">
        <v>0.72</v>
      </c>
      <c r="N50" s="5">
        <v>24</v>
      </c>
      <c r="O50" s="5">
        <v>54</v>
      </c>
      <c r="P50" s="5">
        <v>457</v>
      </c>
      <c r="Q50" s="5">
        <v>8354.58</v>
      </c>
      <c r="R50" s="5" t="s">
        <v>41</v>
      </c>
      <c r="S50" s="5" t="s">
        <v>56</v>
      </c>
      <c r="T50" s="5" t="s">
        <v>43</v>
      </c>
      <c r="U50" s="5">
        <v>6.58</v>
      </c>
      <c r="V50" s="5">
        <v>555.86</v>
      </c>
      <c r="W50" s="5">
        <v>8</v>
      </c>
      <c r="X50" s="5">
        <v>16</v>
      </c>
      <c r="Y50" s="5">
        <v>564.04</v>
      </c>
      <c r="Z50" s="5">
        <v>7790.54</v>
      </c>
      <c r="AA50" s="5">
        <v>0.93248733030265996</v>
      </c>
      <c r="AB50" s="6">
        <v>1920.9</v>
      </c>
    </row>
    <row r="51" spans="1:28" x14ac:dyDescent="0.4">
      <c r="A51" s="4" t="s">
        <v>102</v>
      </c>
      <c r="B51" s="5" t="s">
        <v>34</v>
      </c>
      <c r="C51" s="5" t="s">
        <v>35</v>
      </c>
      <c r="D51" s="5" t="s">
        <v>38</v>
      </c>
      <c r="E51" s="5" t="s">
        <v>39</v>
      </c>
      <c r="F51" s="5">
        <v>867</v>
      </c>
      <c r="G51" s="5">
        <v>42.08</v>
      </c>
      <c r="H51" s="5">
        <v>28</v>
      </c>
      <c r="I51" s="5">
        <v>3.4500000000000003E-2</v>
      </c>
      <c r="J51" s="5" t="s">
        <v>40</v>
      </c>
      <c r="K51" s="5">
        <v>26.03</v>
      </c>
      <c r="L51" s="5">
        <v>13</v>
      </c>
      <c r="M51" s="5">
        <v>0.52</v>
      </c>
      <c r="N51" s="5">
        <v>17</v>
      </c>
      <c r="O51" s="5">
        <v>19</v>
      </c>
      <c r="P51" s="5">
        <v>704</v>
      </c>
      <c r="Q51" s="5">
        <v>8367.7199999999993</v>
      </c>
      <c r="R51" s="5" t="s">
        <v>30</v>
      </c>
      <c r="S51" s="5" t="s">
        <v>42</v>
      </c>
      <c r="T51" s="5" t="s">
        <v>36</v>
      </c>
      <c r="U51" s="5">
        <v>2.2200000000000002</v>
      </c>
      <c r="V51" s="5">
        <v>393.84</v>
      </c>
      <c r="W51" s="5">
        <v>8</v>
      </c>
      <c r="X51" s="5">
        <v>24</v>
      </c>
      <c r="Y51" s="5">
        <v>438.14</v>
      </c>
      <c r="Z51" s="5">
        <v>7929.579999999999</v>
      </c>
      <c r="AA51" s="5">
        <v>0.94763926135195697</v>
      </c>
      <c r="AB51" s="6">
        <v>338.39</v>
      </c>
    </row>
    <row r="52" spans="1:28" x14ac:dyDescent="0.4">
      <c r="A52" s="4" t="s">
        <v>103</v>
      </c>
      <c r="B52" s="5" t="s">
        <v>25</v>
      </c>
      <c r="C52" s="5" t="s">
        <v>26</v>
      </c>
      <c r="D52" s="5" t="s">
        <v>61</v>
      </c>
      <c r="E52" s="5" t="s">
        <v>50</v>
      </c>
      <c r="F52" s="5">
        <v>375</v>
      </c>
      <c r="G52" s="5">
        <v>97.11</v>
      </c>
      <c r="H52" s="5">
        <v>18</v>
      </c>
      <c r="I52" s="5">
        <v>1.9800000000000002E-2</v>
      </c>
      <c r="J52" s="5" t="s">
        <v>40</v>
      </c>
      <c r="K52" s="5">
        <v>37.93</v>
      </c>
      <c r="L52" s="5">
        <v>0</v>
      </c>
      <c r="M52" s="5">
        <v>0.28999999999999998</v>
      </c>
      <c r="N52" s="5">
        <v>8</v>
      </c>
      <c r="O52" s="5">
        <v>58</v>
      </c>
      <c r="P52" s="5">
        <v>163</v>
      </c>
      <c r="Q52" s="5">
        <v>3550.22</v>
      </c>
      <c r="R52" s="5" t="s">
        <v>41</v>
      </c>
      <c r="S52" s="5" t="s">
        <v>42</v>
      </c>
      <c r="T52" s="5" t="s">
        <v>32</v>
      </c>
      <c r="U52" s="5">
        <v>1.19</v>
      </c>
      <c r="V52" s="5">
        <v>299.70999999999998</v>
      </c>
      <c r="W52" s="5">
        <v>8</v>
      </c>
      <c r="X52" s="5">
        <v>2</v>
      </c>
      <c r="Y52" s="5">
        <v>398.01</v>
      </c>
      <c r="Z52" s="5">
        <v>3152.21</v>
      </c>
      <c r="AA52" s="5">
        <v>0.88789145461408003</v>
      </c>
      <c r="AB52" s="6">
        <v>0</v>
      </c>
    </row>
    <row r="53" spans="1:28" x14ac:dyDescent="0.4">
      <c r="A53" s="4" t="s">
        <v>104</v>
      </c>
      <c r="B53" s="5" t="s">
        <v>34</v>
      </c>
      <c r="C53" s="5" t="s">
        <v>26</v>
      </c>
      <c r="D53" s="5" t="s">
        <v>49</v>
      </c>
      <c r="E53" s="5" t="s">
        <v>39</v>
      </c>
      <c r="F53" s="5">
        <v>862</v>
      </c>
      <c r="G53" s="5">
        <v>77.63</v>
      </c>
      <c r="H53" s="5">
        <v>7</v>
      </c>
      <c r="I53" s="5">
        <v>1.3599999999999999E-2</v>
      </c>
      <c r="J53" s="5" t="s">
        <v>29</v>
      </c>
      <c r="K53" s="5">
        <v>54.87</v>
      </c>
      <c r="L53" s="5">
        <v>95</v>
      </c>
      <c r="M53" s="5">
        <v>0.62</v>
      </c>
      <c r="N53" s="5">
        <v>1</v>
      </c>
      <c r="O53" s="5">
        <v>27</v>
      </c>
      <c r="P53" s="5">
        <v>511</v>
      </c>
      <c r="Q53" s="5">
        <v>1752.38</v>
      </c>
      <c r="R53" s="5" t="s">
        <v>47</v>
      </c>
      <c r="S53" s="5" t="s">
        <v>42</v>
      </c>
      <c r="T53" s="5" t="s">
        <v>32</v>
      </c>
      <c r="U53" s="5">
        <v>9.7100000000000009</v>
      </c>
      <c r="V53" s="5">
        <v>207.66</v>
      </c>
      <c r="W53" s="5">
        <v>3</v>
      </c>
      <c r="X53" s="5">
        <v>9</v>
      </c>
      <c r="Y53" s="5">
        <v>295</v>
      </c>
      <c r="Z53" s="5">
        <v>1457.38</v>
      </c>
      <c r="AA53" s="5">
        <v>0.831657517205172</v>
      </c>
      <c r="AB53" s="6">
        <v>5212.6499999999996</v>
      </c>
    </row>
    <row r="54" spans="1:28" x14ac:dyDescent="0.4">
      <c r="A54" s="4" t="s">
        <v>105</v>
      </c>
      <c r="B54" s="5" t="s">
        <v>25</v>
      </c>
      <c r="C54" s="5" t="s">
        <v>35</v>
      </c>
      <c r="D54" s="5" t="s">
        <v>45</v>
      </c>
      <c r="E54" s="5" t="s">
        <v>50</v>
      </c>
      <c r="F54" s="5">
        <v>775</v>
      </c>
      <c r="G54" s="5">
        <v>11.44</v>
      </c>
      <c r="H54" s="5">
        <v>16</v>
      </c>
      <c r="I54" s="5">
        <v>1.83E-2</v>
      </c>
      <c r="J54" s="5" t="s">
        <v>59</v>
      </c>
      <c r="K54" s="5">
        <v>47.91</v>
      </c>
      <c r="L54" s="5">
        <v>10</v>
      </c>
      <c r="M54" s="5">
        <v>0.9</v>
      </c>
      <c r="N54" s="5">
        <v>12</v>
      </c>
      <c r="O54" s="5">
        <v>22</v>
      </c>
      <c r="P54" s="5">
        <v>32</v>
      </c>
      <c r="Q54" s="5">
        <v>7014.89</v>
      </c>
      <c r="R54" s="5" t="s">
        <v>30</v>
      </c>
      <c r="S54" s="5" t="s">
        <v>56</v>
      </c>
      <c r="T54" s="5" t="s">
        <v>32</v>
      </c>
      <c r="U54" s="5">
        <v>6.32</v>
      </c>
      <c r="V54" s="5">
        <v>183.27</v>
      </c>
      <c r="W54" s="5">
        <v>4</v>
      </c>
      <c r="X54" s="5">
        <v>22</v>
      </c>
      <c r="Y54" s="5">
        <v>201.03</v>
      </c>
      <c r="Z54" s="5">
        <v>6813.8600000000006</v>
      </c>
      <c r="AA54" s="5">
        <v>0.97134238740735801</v>
      </c>
      <c r="AB54" s="6">
        <v>479.09999999999997</v>
      </c>
    </row>
    <row r="55" spans="1:28" x14ac:dyDescent="0.4">
      <c r="A55" s="4" t="s">
        <v>106</v>
      </c>
      <c r="B55" s="5" t="s">
        <v>55</v>
      </c>
      <c r="C55" s="5" t="s">
        <v>35</v>
      </c>
      <c r="D55" s="5" t="s">
        <v>61</v>
      </c>
      <c r="E55" s="5" t="s">
        <v>50</v>
      </c>
      <c r="F55" s="5">
        <v>258</v>
      </c>
      <c r="G55" s="5">
        <v>30.66</v>
      </c>
      <c r="H55" s="5">
        <v>10</v>
      </c>
      <c r="I55" s="5">
        <v>2.0799999999999999E-2</v>
      </c>
      <c r="J55" s="5" t="s">
        <v>29</v>
      </c>
      <c r="K55" s="5">
        <v>6.38</v>
      </c>
      <c r="L55" s="5">
        <v>76</v>
      </c>
      <c r="M55" s="5">
        <v>0.14000000000000001</v>
      </c>
      <c r="N55" s="5">
        <v>2</v>
      </c>
      <c r="O55" s="5">
        <v>26</v>
      </c>
      <c r="P55" s="5">
        <v>637</v>
      </c>
      <c r="Q55" s="5">
        <v>8180.34</v>
      </c>
      <c r="R55" s="5" t="s">
        <v>30</v>
      </c>
      <c r="S55" s="5" t="s">
        <v>42</v>
      </c>
      <c r="T55" s="5" t="s">
        <v>36</v>
      </c>
      <c r="U55" s="5">
        <v>9.23</v>
      </c>
      <c r="V55" s="5">
        <v>405.17</v>
      </c>
      <c r="W55" s="5">
        <v>6</v>
      </c>
      <c r="X55" s="5">
        <v>2</v>
      </c>
      <c r="Y55" s="5">
        <v>445.06</v>
      </c>
      <c r="Z55" s="5">
        <v>7735.28</v>
      </c>
      <c r="AA55" s="5">
        <v>0.94559394841779199</v>
      </c>
      <c r="AB55" s="6">
        <v>484.88</v>
      </c>
    </row>
    <row r="56" spans="1:28" x14ac:dyDescent="0.4">
      <c r="A56" s="4" t="s">
        <v>107</v>
      </c>
      <c r="B56" s="5" t="s">
        <v>55</v>
      </c>
      <c r="C56" s="5" t="s">
        <v>26</v>
      </c>
      <c r="D56" s="5" t="s">
        <v>45</v>
      </c>
      <c r="E56" s="5" t="s">
        <v>50</v>
      </c>
      <c r="F56" s="5">
        <v>152</v>
      </c>
      <c r="G56" s="5">
        <v>55.76</v>
      </c>
      <c r="H56" s="5">
        <v>11</v>
      </c>
      <c r="I56" s="5">
        <v>3.2099999999999997E-2</v>
      </c>
      <c r="J56" s="5" t="s">
        <v>29</v>
      </c>
      <c r="K56" s="5">
        <v>90.2</v>
      </c>
      <c r="L56" s="5">
        <v>57</v>
      </c>
      <c r="M56" s="5">
        <v>0.88</v>
      </c>
      <c r="N56" s="5">
        <v>29</v>
      </c>
      <c r="O56" s="5">
        <v>77</v>
      </c>
      <c r="P56" s="5">
        <v>478</v>
      </c>
      <c r="Q56" s="5">
        <v>2633.12</v>
      </c>
      <c r="R56" s="5" t="s">
        <v>41</v>
      </c>
      <c r="S56" s="5" t="s">
        <v>31</v>
      </c>
      <c r="T56" s="5" t="s">
        <v>36</v>
      </c>
      <c r="U56" s="5">
        <v>6.6</v>
      </c>
      <c r="V56" s="5">
        <v>677.94</v>
      </c>
      <c r="W56" s="5">
        <v>9</v>
      </c>
      <c r="X56" s="5">
        <v>21</v>
      </c>
      <c r="Y56" s="5">
        <v>740.30000000000007</v>
      </c>
      <c r="Z56" s="5">
        <v>1892.8199999999997</v>
      </c>
      <c r="AA56" s="5">
        <v>0.71885064106459196</v>
      </c>
      <c r="AB56" s="6">
        <v>5141.4000000000005</v>
      </c>
    </row>
    <row r="57" spans="1:28" x14ac:dyDescent="0.4">
      <c r="A57" s="4" t="s">
        <v>108</v>
      </c>
      <c r="B57" s="5" t="s">
        <v>55</v>
      </c>
      <c r="C57" s="5" t="s">
        <v>52</v>
      </c>
      <c r="D57" s="5" t="s">
        <v>49</v>
      </c>
      <c r="E57" s="5" t="s">
        <v>67</v>
      </c>
      <c r="F57" s="5">
        <v>444</v>
      </c>
      <c r="G57" s="5">
        <v>46.87</v>
      </c>
      <c r="H57" s="5">
        <v>4</v>
      </c>
      <c r="I57" s="5">
        <v>4.6199999999999998E-2</v>
      </c>
      <c r="J57" s="5" t="s">
        <v>40</v>
      </c>
      <c r="K57" s="5">
        <v>83.85</v>
      </c>
      <c r="L57" s="5">
        <v>17</v>
      </c>
      <c r="M57" s="5">
        <v>0.41</v>
      </c>
      <c r="N57" s="5">
        <v>25</v>
      </c>
      <c r="O57" s="5">
        <v>66</v>
      </c>
      <c r="P57" s="5">
        <v>375</v>
      </c>
      <c r="Q57" s="5">
        <v>7910.89</v>
      </c>
      <c r="R57" s="5" t="s">
        <v>30</v>
      </c>
      <c r="S57" s="5" t="s">
        <v>42</v>
      </c>
      <c r="T57" s="5" t="s">
        <v>32</v>
      </c>
      <c r="U57" s="5">
        <v>1.51</v>
      </c>
      <c r="V57" s="5">
        <v>866.47</v>
      </c>
      <c r="W57" s="5">
        <v>5</v>
      </c>
      <c r="X57" s="5">
        <v>13</v>
      </c>
      <c r="Y57" s="5">
        <v>914.85</v>
      </c>
      <c r="Z57" s="5">
        <v>6996.04</v>
      </c>
      <c r="AA57" s="5">
        <v>0.88435561611904601</v>
      </c>
      <c r="AB57" s="6">
        <v>1425.4499999999998</v>
      </c>
    </row>
    <row r="58" spans="1:28" x14ac:dyDescent="0.4">
      <c r="A58" s="4" t="s">
        <v>109</v>
      </c>
      <c r="B58" s="5" t="s">
        <v>25</v>
      </c>
      <c r="C58" s="5" t="s">
        <v>35</v>
      </c>
      <c r="D58" s="5" t="s">
        <v>49</v>
      </c>
      <c r="E58" s="5" t="s">
        <v>46</v>
      </c>
      <c r="F58" s="5">
        <v>919</v>
      </c>
      <c r="G58" s="5">
        <v>80.58</v>
      </c>
      <c r="H58" s="5">
        <v>9</v>
      </c>
      <c r="I58" s="5">
        <v>4.0000000000000001E-3</v>
      </c>
      <c r="J58" s="5" t="s">
        <v>40</v>
      </c>
      <c r="K58" s="5">
        <v>3.17</v>
      </c>
      <c r="L58" s="5">
        <v>41</v>
      </c>
      <c r="M58" s="5">
        <v>0.64</v>
      </c>
      <c r="N58" s="5">
        <v>6</v>
      </c>
      <c r="O58" s="5">
        <v>1</v>
      </c>
      <c r="P58" s="5">
        <v>904</v>
      </c>
      <c r="Q58" s="5">
        <v>5709.95</v>
      </c>
      <c r="R58" s="5" t="s">
        <v>41</v>
      </c>
      <c r="S58" s="5" t="s">
        <v>42</v>
      </c>
      <c r="T58" s="5" t="s">
        <v>36</v>
      </c>
      <c r="U58" s="5">
        <v>5.24</v>
      </c>
      <c r="V58" s="5">
        <v>341.55</v>
      </c>
      <c r="W58" s="5">
        <v>5</v>
      </c>
      <c r="X58" s="5">
        <v>1</v>
      </c>
      <c r="Y58" s="5">
        <v>427.37</v>
      </c>
      <c r="Z58" s="5">
        <v>5282.58</v>
      </c>
      <c r="AA58" s="5">
        <v>0.925153460187918</v>
      </c>
      <c r="AB58" s="6">
        <v>129.97</v>
      </c>
    </row>
    <row r="59" spans="1:28" x14ac:dyDescent="0.4">
      <c r="A59" s="4" t="s">
        <v>110</v>
      </c>
      <c r="B59" s="5" t="s">
        <v>34</v>
      </c>
      <c r="C59" s="5" t="s">
        <v>26</v>
      </c>
      <c r="D59" s="5" t="s">
        <v>45</v>
      </c>
      <c r="E59" s="5" t="s">
        <v>67</v>
      </c>
      <c r="F59" s="5">
        <v>759</v>
      </c>
      <c r="G59" s="5">
        <v>48.06</v>
      </c>
      <c r="H59" s="5">
        <v>11</v>
      </c>
      <c r="I59" s="5">
        <v>2.0299999999999999E-2</v>
      </c>
      <c r="J59" s="5" t="s">
        <v>59</v>
      </c>
      <c r="K59" s="5">
        <v>93</v>
      </c>
      <c r="L59" s="5">
        <v>16</v>
      </c>
      <c r="M59" s="5">
        <v>0.28999999999999998</v>
      </c>
      <c r="N59" s="5">
        <v>20</v>
      </c>
      <c r="O59" s="5">
        <v>56</v>
      </c>
      <c r="P59" s="5">
        <v>106</v>
      </c>
      <c r="Q59" s="5">
        <v>1889.07</v>
      </c>
      <c r="R59" s="5" t="s">
        <v>47</v>
      </c>
      <c r="S59" s="5" t="s">
        <v>56</v>
      </c>
      <c r="T59" s="5" t="s">
        <v>43</v>
      </c>
      <c r="U59" s="5">
        <v>2.4700000000000002</v>
      </c>
      <c r="V59" s="5">
        <v>873.13</v>
      </c>
      <c r="W59" s="5">
        <v>10</v>
      </c>
      <c r="X59" s="5">
        <v>25</v>
      </c>
      <c r="Y59" s="5">
        <v>923.66</v>
      </c>
      <c r="Z59" s="5">
        <v>965.41</v>
      </c>
      <c r="AA59" s="5">
        <v>0.51105041104882298</v>
      </c>
      <c r="AB59" s="6">
        <v>1488</v>
      </c>
    </row>
    <row r="60" spans="1:28" x14ac:dyDescent="0.4">
      <c r="A60" s="4" t="s">
        <v>111</v>
      </c>
      <c r="B60" s="5" t="s">
        <v>25</v>
      </c>
      <c r="C60" s="5" t="s">
        <v>52</v>
      </c>
      <c r="D60" s="5" t="s">
        <v>61</v>
      </c>
      <c r="E60" s="5" t="s">
        <v>50</v>
      </c>
      <c r="F60" s="5">
        <v>985</v>
      </c>
      <c r="G60" s="5">
        <v>64.319999999999993</v>
      </c>
      <c r="H60" s="5">
        <v>24</v>
      </c>
      <c r="I60" s="5">
        <v>2.18E-2</v>
      </c>
      <c r="J60" s="5" t="s">
        <v>29</v>
      </c>
      <c r="K60" s="5">
        <v>69.11</v>
      </c>
      <c r="L60" s="5">
        <v>38</v>
      </c>
      <c r="M60" s="5">
        <v>0.23</v>
      </c>
      <c r="N60" s="5">
        <v>1</v>
      </c>
      <c r="O60" s="5">
        <v>22</v>
      </c>
      <c r="P60" s="5">
        <v>241</v>
      </c>
      <c r="Q60" s="5">
        <v>5328.38</v>
      </c>
      <c r="R60" s="5" t="s">
        <v>41</v>
      </c>
      <c r="S60" s="5" t="s">
        <v>42</v>
      </c>
      <c r="T60" s="5" t="s">
        <v>36</v>
      </c>
      <c r="U60" s="5">
        <v>7.05</v>
      </c>
      <c r="V60" s="5">
        <v>997.41</v>
      </c>
      <c r="W60" s="5">
        <v>10</v>
      </c>
      <c r="X60" s="5">
        <v>25</v>
      </c>
      <c r="Y60" s="5">
        <v>1068.78</v>
      </c>
      <c r="Z60" s="5">
        <v>4259.6000000000004</v>
      </c>
      <c r="AA60" s="5">
        <v>0.79941745896501404</v>
      </c>
      <c r="AB60" s="6">
        <v>2626.18</v>
      </c>
    </row>
    <row r="61" spans="1:28" x14ac:dyDescent="0.4">
      <c r="A61" s="4" t="s">
        <v>112</v>
      </c>
      <c r="B61" s="5" t="s">
        <v>25</v>
      </c>
      <c r="C61" s="5" t="s">
        <v>26</v>
      </c>
      <c r="D61" s="5" t="s">
        <v>27</v>
      </c>
      <c r="E61" s="5" t="s">
        <v>50</v>
      </c>
      <c r="F61" s="5">
        <v>228</v>
      </c>
      <c r="G61" s="5">
        <v>57.87</v>
      </c>
      <c r="H61" s="5">
        <v>12</v>
      </c>
      <c r="I61" s="5">
        <v>1.6999999999999999E-3</v>
      </c>
      <c r="J61" s="5" t="s">
        <v>29</v>
      </c>
      <c r="K61" s="5">
        <v>57.06</v>
      </c>
      <c r="L61" s="5">
        <v>31</v>
      </c>
      <c r="M61" s="5">
        <v>0.56000000000000005</v>
      </c>
      <c r="N61" s="5">
        <v>25</v>
      </c>
      <c r="O61" s="5">
        <v>20</v>
      </c>
      <c r="P61" s="5">
        <v>198</v>
      </c>
      <c r="Q61" s="5">
        <v>7888.72</v>
      </c>
      <c r="R61" s="5" t="s">
        <v>47</v>
      </c>
      <c r="S61" s="5" t="s">
        <v>56</v>
      </c>
      <c r="T61" s="5" t="s">
        <v>32</v>
      </c>
      <c r="U61" s="5">
        <v>6.5</v>
      </c>
      <c r="V61" s="5">
        <v>351.5</v>
      </c>
      <c r="W61" s="5">
        <v>1</v>
      </c>
      <c r="X61" s="5">
        <v>5</v>
      </c>
      <c r="Y61" s="5">
        <v>415.87</v>
      </c>
      <c r="Z61" s="5">
        <v>7472.85</v>
      </c>
      <c r="AA61" s="5">
        <v>0.947282955916803</v>
      </c>
      <c r="AB61" s="6">
        <v>1768.8600000000001</v>
      </c>
    </row>
    <row r="62" spans="1:28" x14ac:dyDescent="0.4">
      <c r="A62" s="4" t="s">
        <v>113</v>
      </c>
      <c r="B62" s="5" t="s">
        <v>55</v>
      </c>
      <c r="C62" s="5" t="s">
        <v>35</v>
      </c>
      <c r="D62" s="5" t="s">
        <v>38</v>
      </c>
      <c r="E62" s="5" t="s">
        <v>67</v>
      </c>
      <c r="F62" s="5">
        <v>211</v>
      </c>
      <c r="G62" s="5">
        <v>69.930000000000007</v>
      </c>
      <c r="H62" s="5">
        <v>2</v>
      </c>
      <c r="I62" s="5">
        <v>1.37E-2</v>
      </c>
      <c r="J62" s="5" t="s">
        <v>40</v>
      </c>
      <c r="K62" s="5">
        <v>76.959999999999994</v>
      </c>
      <c r="L62" s="5">
        <v>15</v>
      </c>
      <c r="M62" s="5">
        <v>0.83</v>
      </c>
      <c r="N62" s="5">
        <v>18</v>
      </c>
      <c r="O62" s="5">
        <v>66</v>
      </c>
      <c r="P62" s="5">
        <v>25</v>
      </c>
      <c r="Q62" s="5">
        <v>8684.61</v>
      </c>
      <c r="R62" s="5" t="s">
        <v>30</v>
      </c>
      <c r="S62" s="5" t="s">
        <v>31</v>
      </c>
      <c r="T62" s="5" t="s">
        <v>43</v>
      </c>
      <c r="U62" s="5">
        <v>8.25</v>
      </c>
      <c r="V62" s="5">
        <v>842.69</v>
      </c>
      <c r="W62" s="5">
        <v>2</v>
      </c>
      <c r="X62" s="5">
        <v>4</v>
      </c>
      <c r="Y62" s="5">
        <v>920.87000000000012</v>
      </c>
      <c r="Z62" s="5">
        <v>7763.7400000000007</v>
      </c>
      <c r="AA62" s="5">
        <v>0.89396530183853995</v>
      </c>
      <c r="AB62" s="6">
        <v>1154.3999999999999</v>
      </c>
    </row>
    <row r="63" spans="1:28" x14ac:dyDescent="0.4">
      <c r="A63" s="4" t="s">
        <v>114</v>
      </c>
      <c r="B63" s="5" t="s">
        <v>25</v>
      </c>
      <c r="C63" s="5" t="s">
        <v>52</v>
      </c>
      <c r="D63" s="5" t="s">
        <v>27</v>
      </c>
      <c r="E63" s="5" t="s">
        <v>67</v>
      </c>
      <c r="F63" s="5">
        <v>523</v>
      </c>
      <c r="G63" s="5">
        <v>28.7</v>
      </c>
      <c r="H63" s="5">
        <v>17</v>
      </c>
      <c r="I63" s="5">
        <v>3.6900000000000002E-2</v>
      </c>
      <c r="J63" s="5" t="s">
        <v>40</v>
      </c>
      <c r="K63" s="5">
        <v>80.41</v>
      </c>
      <c r="L63" s="5">
        <v>5</v>
      </c>
      <c r="M63" s="5">
        <v>0.24</v>
      </c>
      <c r="N63" s="5">
        <v>7</v>
      </c>
      <c r="O63" s="5">
        <v>55</v>
      </c>
      <c r="P63" s="5">
        <v>79</v>
      </c>
      <c r="Q63" s="5">
        <v>5133.8500000000004</v>
      </c>
      <c r="R63" s="5" t="s">
        <v>53</v>
      </c>
      <c r="S63" s="5" t="s">
        <v>31</v>
      </c>
      <c r="T63" s="5" t="s">
        <v>36</v>
      </c>
      <c r="U63" s="5">
        <v>6.58</v>
      </c>
      <c r="V63" s="5">
        <v>879.36</v>
      </c>
      <c r="W63" s="5">
        <v>10</v>
      </c>
      <c r="X63" s="5">
        <v>27</v>
      </c>
      <c r="Y63" s="5">
        <v>914.64</v>
      </c>
      <c r="Z63" s="5">
        <v>4219.21</v>
      </c>
      <c r="AA63" s="5">
        <v>0.82184130818002099</v>
      </c>
      <c r="AB63" s="6">
        <v>402.04999999999995</v>
      </c>
    </row>
    <row r="64" spans="1:28" x14ac:dyDescent="0.4">
      <c r="A64" s="4" t="s">
        <v>115</v>
      </c>
      <c r="B64" s="5" t="s">
        <v>55</v>
      </c>
      <c r="C64" s="5" t="s">
        <v>52</v>
      </c>
      <c r="D64" s="5" t="s">
        <v>61</v>
      </c>
      <c r="E64" s="5" t="s">
        <v>28</v>
      </c>
      <c r="F64" s="5">
        <v>953</v>
      </c>
      <c r="G64" s="5">
        <v>68.180000000000007</v>
      </c>
      <c r="H64" s="5">
        <v>11</v>
      </c>
      <c r="I64" s="5">
        <v>7.1999999999999998E-3</v>
      </c>
      <c r="J64" s="5" t="s">
        <v>29</v>
      </c>
      <c r="K64" s="5">
        <v>75.27</v>
      </c>
      <c r="L64" s="5">
        <v>60</v>
      </c>
      <c r="M64" s="5">
        <v>0.57999999999999996</v>
      </c>
      <c r="N64" s="5">
        <v>18</v>
      </c>
      <c r="O64" s="5">
        <v>85</v>
      </c>
      <c r="P64" s="5">
        <v>737</v>
      </c>
      <c r="Q64" s="5">
        <v>9444.74</v>
      </c>
      <c r="R64" s="5" t="s">
        <v>53</v>
      </c>
      <c r="S64" s="5" t="s">
        <v>42</v>
      </c>
      <c r="T64" s="5" t="s">
        <v>36</v>
      </c>
      <c r="U64" s="5">
        <v>3.8</v>
      </c>
      <c r="V64" s="5">
        <v>103.92</v>
      </c>
      <c r="W64" s="5">
        <v>7</v>
      </c>
      <c r="X64" s="5">
        <v>21</v>
      </c>
      <c r="Y64" s="5">
        <v>175.9</v>
      </c>
      <c r="Z64" s="5">
        <v>9268.84</v>
      </c>
      <c r="AA64" s="5">
        <v>0.98137587694314499</v>
      </c>
      <c r="AB64" s="6">
        <v>4516.2</v>
      </c>
    </row>
    <row r="65" spans="1:28" x14ac:dyDescent="0.4">
      <c r="A65" s="4" t="s">
        <v>116</v>
      </c>
      <c r="B65" s="5" t="s">
        <v>34</v>
      </c>
      <c r="C65" s="5" t="s">
        <v>26</v>
      </c>
      <c r="D65" s="5" t="s">
        <v>27</v>
      </c>
      <c r="E65" s="5" t="s">
        <v>50</v>
      </c>
      <c r="F65" s="5">
        <v>585</v>
      </c>
      <c r="G65" s="5">
        <v>85.68</v>
      </c>
      <c r="H65" s="5">
        <v>8</v>
      </c>
      <c r="I65" s="5">
        <v>1.2200000000000001E-2</v>
      </c>
      <c r="J65" s="5" t="s">
        <v>59</v>
      </c>
      <c r="K65" s="5">
        <v>13.88</v>
      </c>
      <c r="L65" s="5">
        <v>66</v>
      </c>
      <c r="M65" s="5">
        <v>0.56000000000000005</v>
      </c>
      <c r="N65" s="5">
        <v>18</v>
      </c>
      <c r="O65" s="5">
        <v>96</v>
      </c>
      <c r="P65" s="5">
        <v>320</v>
      </c>
      <c r="Q65" s="5">
        <v>9592.6299999999992</v>
      </c>
      <c r="R65" s="5" t="s">
        <v>41</v>
      </c>
      <c r="S65" s="5" t="s">
        <v>31</v>
      </c>
      <c r="T65" s="5" t="s">
        <v>32</v>
      </c>
      <c r="U65" s="5">
        <v>7.67</v>
      </c>
      <c r="V65" s="5">
        <v>990.08</v>
      </c>
      <c r="W65" s="5">
        <v>7</v>
      </c>
      <c r="X65" s="5">
        <v>8</v>
      </c>
      <c r="Y65" s="5">
        <v>1083.43</v>
      </c>
      <c r="Z65" s="5">
        <v>8509.1999999999989</v>
      </c>
      <c r="AA65" s="5">
        <v>0.88705600028355103</v>
      </c>
      <c r="AB65" s="6">
        <v>916.08</v>
      </c>
    </row>
    <row r="66" spans="1:28" x14ac:dyDescent="0.4">
      <c r="A66" s="4" t="s">
        <v>117</v>
      </c>
      <c r="B66" s="5" t="s">
        <v>55</v>
      </c>
      <c r="C66" s="5" t="s">
        <v>52</v>
      </c>
      <c r="D66" s="5" t="s">
        <v>49</v>
      </c>
      <c r="E66" s="5" t="s">
        <v>46</v>
      </c>
      <c r="F66" s="5">
        <v>207</v>
      </c>
      <c r="G66" s="5">
        <v>39.770000000000003</v>
      </c>
      <c r="H66" s="5">
        <v>28</v>
      </c>
      <c r="I66" s="5">
        <v>6.3E-3</v>
      </c>
      <c r="J66" s="5" t="s">
        <v>29</v>
      </c>
      <c r="K66" s="5">
        <v>62.11</v>
      </c>
      <c r="L66" s="5">
        <v>98</v>
      </c>
      <c r="M66" s="5">
        <v>0.9</v>
      </c>
      <c r="N66" s="5">
        <v>22</v>
      </c>
      <c r="O66" s="5">
        <v>85</v>
      </c>
      <c r="P66" s="5">
        <v>916</v>
      </c>
      <c r="Q66" s="5">
        <v>1935.21</v>
      </c>
      <c r="R66" s="5" t="s">
        <v>41</v>
      </c>
      <c r="S66" s="5" t="s">
        <v>31</v>
      </c>
      <c r="T66" s="5" t="s">
        <v>32</v>
      </c>
      <c r="U66" s="5">
        <v>7.47</v>
      </c>
      <c r="V66" s="5">
        <v>996.78</v>
      </c>
      <c r="W66" s="5">
        <v>7</v>
      </c>
      <c r="X66" s="5">
        <v>5</v>
      </c>
      <c r="Y66" s="5">
        <v>1044.02</v>
      </c>
      <c r="Z66" s="5">
        <v>891.19</v>
      </c>
      <c r="AA66" s="5">
        <v>0.46051332930276301</v>
      </c>
      <c r="AB66" s="6">
        <v>6086.78</v>
      </c>
    </row>
    <row r="67" spans="1:28" x14ac:dyDescent="0.4">
      <c r="A67" s="4" t="s">
        <v>118</v>
      </c>
      <c r="B67" s="5" t="s">
        <v>55</v>
      </c>
      <c r="C67" s="5" t="s">
        <v>52</v>
      </c>
      <c r="D67" s="5" t="s">
        <v>61</v>
      </c>
      <c r="E67" s="5" t="s">
        <v>28</v>
      </c>
      <c r="F67" s="5">
        <v>671</v>
      </c>
      <c r="G67" s="5">
        <v>62.61</v>
      </c>
      <c r="H67" s="5">
        <v>29</v>
      </c>
      <c r="I67" s="5">
        <v>3.3E-3</v>
      </c>
      <c r="J67" s="5" t="s">
        <v>59</v>
      </c>
      <c r="K67" s="5">
        <v>47.71</v>
      </c>
      <c r="L67" s="5">
        <v>90</v>
      </c>
      <c r="M67" s="5">
        <v>0.44</v>
      </c>
      <c r="N67" s="5">
        <v>25</v>
      </c>
      <c r="O67" s="5">
        <v>10</v>
      </c>
      <c r="P67" s="5">
        <v>276</v>
      </c>
      <c r="Q67" s="5">
        <v>2100.13</v>
      </c>
      <c r="R67" s="5" t="s">
        <v>41</v>
      </c>
      <c r="S67" s="5" t="s">
        <v>31</v>
      </c>
      <c r="T67" s="5" t="s">
        <v>32</v>
      </c>
      <c r="U67" s="5">
        <v>4.47</v>
      </c>
      <c r="V67" s="5">
        <v>230.09</v>
      </c>
      <c r="W67" s="5">
        <v>8</v>
      </c>
      <c r="X67" s="5">
        <v>4</v>
      </c>
      <c r="Y67" s="5">
        <v>297.17</v>
      </c>
      <c r="Z67" s="5">
        <v>1802.96</v>
      </c>
      <c r="AA67" s="5">
        <v>0.85849923576159604</v>
      </c>
      <c r="AB67" s="6">
        <v>4293.8999999999996</v>
      </c>
    </row>
    <row r="68" spans="1:28" x14ac:dyDescent="0.4">
      <c r="A68" s="4" t="s">
        <v>119</v>
      </c>
      <c r="B68" s="5" t="s">
        <v>55</v>
      </c>
      <c r="C68" s="5" t="s">
        <v>26</v>
      </c>
      <c r="D68" s="5" t="s">
        <v>27</v>
      </c>
      <c r="E68" s="5" t="s">
        <v>28</v>
      </c>
      <c r="F68" s="5">
        <v>648</v>
      </c>
      <c r="G68" s="5">
        <v>17.8</v>
      </c>
      <c r="H68" s="5">
        <v>28</v>
      </c>
      <c r="I68" s="5">
        <v>3.8699999999999998E-2</v>
      </c>
      <c r="J68" s="5" t="s">
        <v>29</v>
      </c>
      <c r="K68" s="5">
        <v>24.42</v>
      </c>
      <c r="L68" s="5">
        <v>67</v>
      </c>
      <c r="M68" s="5">
        <v>0.28999999999999998</v>
      </c>
      <c r="N68" s="5">
        <v>2</v>
      </c>
      <c r="O68" s="5">
        <v>32</v>
      </c>
      <c r="P68" s="5">
        <v>324</v>
      </c>
      <c r="Q68" s="5">
        <v>7698.42</v>
      </c>
      <c r="R68" s="5" t="s">
        <v>30</v>
      </c>
      <c r="S68" s="5" t="s">
        <v>42</v>
      </c>
      <c r="T68" s="5" t="s">
        <v>43</v>
      </c>
      <c r="U68" s="5">
        <v>5.35</v>
      </c>
      <c r="V68" s="5">
        <v>188.74</v>
      </c>
      <c r="W68" s="5">
        <v>3</v>
      </c>
      <c r="X68" s="5">
        <v>28</v>
      </c>
      <c r="Y68" s="5">
        <v>211.89000000000001</v>
      </c>
      <c r="Z68" s="5">
        <v>7486.53</v>
      </c>
      <c r="AA68" s="5">
        <v>0.97247617043497203</v>
      </c>
      <c r="AB68" s="6">
        <v>1636.14</v>
      </c>
    </row>
    <row r="69" spans="1:28" x14ac:dyDescent="0.4">
      <c r="A69" s="4" t="s">
        <v>120</v>
      </c>
      <c r="B69" s="5" t="s">
        <v>25</v>
      </c>
      <c r="C69" s="5" t="s">
        <v>52</v>
      </c>
      <c r="D69" s="5" t="s">
        <v>49</v>
      </c>
      <c r="E69" s="5" t="s">
        <v>28</v>
      </c>
      <c r="F69" s="5">
        <v>535</v>
      </c>
      <c r="G69" s="5">
        <v>65.77</v>
      </c>
      <c r="H69" s="5">
        <v>13</v>
      </c>
      <c r="I69" s="5">
        <v>3.3799999999999997E-2</v>
      </c>
      <c r="J69" s="5" t="s">
        <v>40</v>
      </c>
      <c r="K69" s="5">
        <v>3.53</v>
      </c>
      <c r="L69" s="5">
        <v>46</v>
      </c>
      <c r="M69" s="5">
        <v>0.56000000000000005</v>
      </c>
      <c r="N69" s="5">
        <v>19</v>
      </c>
      <c r="O69" s="5">
        <v>4</v>
      </c>
      <c r="P69" s="5">
        <v>62</v>
      </c>
      <c r="Q69" s="5">
        <v>4370.92</v>
      </c>
      <c r="R69" s="5" t="s">
        <v>30</v>
      </c>
      <c r="S69" s="5" t="s">
        <v>42</v>
      </c>
      <c r="T69" s="5" t="s">
        <v>36</v>
      </c>
      <c r="U69" s="5">
        <v>7.9</v>
      </c>
      <c r="V69" s="5">
        <v>540.13</v>
      </c>
      <c r="W69" s="5">
        <v>9</v>
      </c>
      <c r="X69" s="5">
        <v>10</v>
      </c>
      <c r="Y69" s="5">
        <v>613.79999999999995</v>
      </c>
      <c r="Z69" s="5">
        <v>3757.12</v>
      </c>
      <c r="AA69" s="5">
        <v>0.859571897907077</v>
      </c>
      <c r="AB69" s="6">
        <v>162.38</v>
      </c>
    </row>
    <row r="70" spans="1:28" x14ac:dyDescent="0.4">
      <c r="A70" s="7" t="s">
        <v>121</v>
      </c>
      <c r="B70" s="8" t="s">
        <v>34</v>
      </c>
      <c r="C70" s="8" t="s">
        <v>35</v>
      </c>
      <c r="D70" s="8" t="s">
        <v>38</v>
      </c>
      <c r="E70" s="8" t="s">
        <v>67</v>
      </c>
      <c r="F70" s="8">
        <v>581</v>
      </c>
      <c r="G70" s="8">
        <v>5.6</v>
      </c>
      <c r="H70" s="8">
        <v>9</v>
      </c>
      <c r="I70" s="8">
        <v>2.9100000000000001E-2</v>
      </c>
      <c r="J70" s="8" t="s">
        <v>29</v>
      </c>
      <c r="K70" s="8">
        <v>19.75</v>
      </c>
      <c r="L70" s="8">
        <v>53</v>
      </c>
      <c r="M70" s="8">
        <v>0.43</v>
      </c>
      <c r="N70" s="8">
        <v>1</v>
      </c>
      <c r="O70" s="8">
        <v>27</v>
      </c>
      <c r="P70" s="8">
        <v>913</v>
      </c>
      <c r="Q70" s="8">
        <v>8525.9500000000007</v>
      </c>
      <c r="R70" s="8" t="s">
        <v>41</v>
      </c>
      <c r="S70" s="8" t="s">
        <v>42</v>
      </c>
      <c r="T70" s="8" t="s">
        <v>32</v>
      </c>
      <c r="U70" s="8">
        <v>1.41</v>
      </c>
      <c r="V70" s="8">
        <v>882.2</v>
      </c>
      <c r="W70" s="8">
        <v>7</v>
      </c>
      <c r="X70" s="8">
        <v>28</v>
      </c>
      <c r="Y70" s="8">
        <v>889.21</v>
      </c>
      <c r="Z70" s="8">
        <v>7636.7400000000007</v>
      </c>
      <c r="AA70" s="8">
        <v>0.89570546390724803</v>
      </c>
      <c r="AB70" s="9">
        <v>1046.75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33CCC69E92AB46864A1F3426B1DDEC" ma:contentTypeVersion="4" ma:contentTypeDescription="Create a new document." ma:contentTypeScope="" ma:versionID="a3104c3924f833c03163c7ffc8a84471">
  <xsd:schema xmlns:xsd="http://www.w3.org/2001/XMLSchema" xmlns:xs="http://www.w3.org/2001/XMLSchema" xmlns:p="http://schemas.microsoft.com/office/2006/metadata/properties" xmlns:ns3="c5fb894c-6f5b-4d2c-9163-044c6a8d9d16" targetNamespace="http://schemas.microsoft.com/office/2006/metadata/properties" ma:root="true" ma:fieldsID="bfd84370aa59f3e9f422fee1fe9153cf" ns3:_="">
    <xsd:import namespace="c5fb894c-6f5b-4d2c-9163-044c6a8d9d1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fb894c-6f5b-4d2c-9163-044c6a8d9d1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964EE6B1-55A1-475A-A034-FAB5339E94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fb894c-6f5b-4d2c-9163-044c6a8d9d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0255BD-6753-4846-AA15-85806385AFDF}">
  <ds:schemaRefs>
    <ds:schemaRef ds:uri="http://schemas.microsoft.com/sharepoint/v3/contenttype/forms"/>
  </ds:schemaRefs>
</ds:datastoreItem>
</file>

<file path=customXml/itemProps3.xml><?xml version="1.0" encoding="utf-8"?>
<ds:datastoreItem xmlns:ds="http://schemas.openxmlformats.org/officeDocument/2006/customXml" ds:itemID="{A377E5D8-857C-4BC3-956E-FB55FA792A8D}">
  <ds:schemaRefs>
    <ds:schemaRef ds:uri="http://schemas.microsoft.com/office/infopath/2007/PartnerControls"/>
    <ds:schemaRef ds:uri="http://schemas.microsoft.com/office/2006/metadata/properties"/>
    <ds:schemaRef ds:uri="http://purl.org/dc/dcmitype/"/>
    <ds:schemaRef ds:uri="http://purl.org/dc/elements/1.1/"/>
    <ds:schemaRef ds:uri="c5fb894c-6f5b-4d2c-9163-044c6a8d9d16"/>
    <ds:schemaRef ds:uri="http://purl.org/dc/terms/"/>
    <ds:schemaRef ds:uri="http://schemas.microsoft.com/office/2006/documentManagement/type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D1B4DED7-FBA5-4211-9191-0C3529D889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and profit</vt:lpstr>
      <vt:lpstr>Profit margin</vt:lpstr>
      <vt:lpstr>Trade-off Evaluation</vt:lpstr>
      <vt:lpstr>Transportation modes</vt:lpstr>
      <vt:lpstr>Cost to revenue ratio</vt:lpstr>
      <vt:lpstr>dashboard</vt:lpstr>
      <vt:lpstr>supply_chain_data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Thành Chương Ha</dc:creator>
  <cp:lastModifiedBy>Ha Tran Minh Thong</cp:lastModifiedBy>
  <dcterms:created xsi:type="dcterms:W3CDTF">2026-06-03T15:00:20Z</dcterms:created>
  <dcterms:modified xsi:type="dcterms:W3CDTF">2026-06-10T14:55:01Z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0x0101000A33CCC69E92AB46864A1F3426B1DDEC</vt:lpwstr>
  </property>
</Properties>
</file>